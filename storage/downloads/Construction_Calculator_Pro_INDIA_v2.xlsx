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moham\Downloads\Construction_Calculator_Pro_Package_PDF\6_Workbook\"/>
    </mc:Choice>
  </mc:AlternateContent>
  <xr:revisionPtr revIDLastSave="0" documentId="13_ncr:1_{54E182D1-D869-451C-8D2B-68468B3B8F98}" xr6:coauthVersionLast="47" xr6:coauthVersionMax="47" xr10:uidLastSave="{00000000-0000-0000-0000-000000000000}"/>
  <bookViews>
    <workbookView xWindow="-120" yWindow="-120" windowWidth="38640" windowHeight="21120" xr2:uid="{00000000-000D-0000-FFFF-FFFF00000000}"/>
  </bookViews>
  <sheets>
    <sheet name="Start Here" sheetId="1" r:id="rId1"/>
    <sheet name="Quick Start" sheetId="2" r:id="rId2"/>
    <sheet name="Setup" sheetId="3" r:id="rId3"/>
    <sheet name="Room Area" sheetId="4" r:id="rId4"/>
    <sheet name="Earthwork" sheetId="5" r:id="rId5"/>
    <sheet name="Paint &amp; Tiles" sheetId="6" r:id="rId6"/>
    <sheet name="Exterior &amp; Roof" sheetId="7" r:id="rId7"/>
    <sheet name="Concrete" sheetId="8" r:id="rId8"/>
    <sheet name="Bricks &amp; Blocks" sheetId="9" r:id="rId9"/>
    <sheet name="Plaster" sheetId="10" r:id="rId10"/>
    <sheet name="Steel" sheetId="11" r:id="rId11"/>
    <sheet name="Services" sheetId="12" r:id="rId12"/>
    <sheet name="Cost Estimate" sheetId="13" r:id="rId13"/>
    <sheet name="Room Costs" sheetId="14" r:id="rId14"/>
    <sheet name="Stage Budget" sheetId="15" r:id="rId15"/>
    <sheet name="Stage Checklist" sheetId="16" r:id="rId16"/>
    <sheet name="Order List" sheetId="17" r:id="rId17"/>
    <sheet name="Task Tracker" sheetId="18" r:id="rId18"/>
    <sheet name="Permits" sheetId="19" r:id="rId19"/>
    <sheet name="Rates" sheetId="20" r:id="rId20"/>
    <sheet name="Rate Quotes" sheetId="21" r:id="rId21"/>
    <sheet name="Assumptions" sheetId="22" r:id="rId22"/>
    <sheet name="Terms &amp; Disclaimer" sheetId="23" r:id="rId23"/>
    <sheet name="Dashboard" sheetId="24" r:id="rId24"/>
    <sheet name="Bill Check" sheetId="25" r:id="rId25"/>
    <sheet name="Projects" sheetId="26" r:id="rId26"/>
    <sheet name="Bids" sheetId="27" r:id="rId27"/>
    <sheet name="Payments" sheetId="28" r:id="rId28"/>
    <sheet name="Timeline" sheetId="29" r:id="rId29"/>
    <sheet name="Quotation" sheetId="30" r:id="rId30"/>
    <sheet name="Rate Library" sheetId="31" r:id="rId31"/>
  </sheets>
  <definedNames>
    <definedName name="_xlnm.Print_Area" localSheetId="29">Quotation!$A$1:$C$37</definedName>
  </definedNames>
  <calcPr calcId="181029"/>
</workbook>
</file>

<file path=xl/calcChain.xml><?xml version="1.0" encoding="utf-8"?>
<calcChain xmlns="http://schemas.openxmlformats.org/spreadsheetml/2006/main">
  <c r="C30" i="30" l="1"/>
  <c r="B30" i="30"/>
  <c r="B29" i="30"/>
  <c r="C28" i="30"/>
  <c r="B28" i="30"/>
  <c r="C27" i="30"/>
  <c r="B27" i="30"/>
  <c r="B26" i="30"/>
  <c r="C25" i="30"/>
  <c r="B25" i="30"/>
  <c r="C24" i="30"/>
  <c r="B24" i="30"/>
  <c r="C23" i="30"/>
  <c r="B23" i="30"/>
  <c r="B22" i="30"/>
  <c r="B21" i="30"/>
  <c r="C20" i="30"/>
  <c r="B20" i="30"/>
  <c r="C19" i="30"/>
  <c r="B19" i="30"/>
  <c r="B18" i="30"/>
  <c r="B17" i="30"/>
  <c r="B16" i="30"/>
  <c r="B15" i="30"/>
  <c r="B14" i="30"/>
  <c r="B13" i="30"/>
  <c r="B12" i="30"/>
  <c r="B11" i="30"/>
  <c r="B8" i="30"/>
  <c r="B7" i="30"/>
  <c r="B6" i="30"/>
  <c r="B5" i="30"/>
  <c r="G25" i="29"/>
  <c r="D25" i="29"/>
  <c r="G24" i="29"/>
  <c r="D24" i="29"/>
  <c r="G23" i="29"/>
  <c r="D23" i="29"/>
  <c r="G22" i="29"/>
  <c r="D22" i="29"/>
  <c r="G21" i="29"/>
  <c r="D21" i="29"/>
  <c r="G20" i="29"/>
  <c r="D20" i="29"/>
  <c r="G19" i="29"/>
  <c r="D19" i="29"/>
  <c r="G18" i="29"/>
  <c r="D18" i="29"/>
  <c r="G17" i="29"/>
  <c r="D17" i="29"/>
  <c r="C16" i="29"/>
  <c r="B16" i="29"/>
  <c r="C15" i="29"/>
  <c r="G15" i="29" s="1"/>
  <c r="B15" i="29"/>
  <c r="D15" i="29" s="1"/>
  <c r="C14" i="29"/>
  <c r="G14" i="29" s="1"/>
  <c r="B14" i="29"/>
  <c r="D14" i="29" s="1"/>
  <c r="C13" i="29"/>
  <c r="G13" i="29" s="1"/>
  <c r="B13" i="29"/>
  <c r="D13" i="29" s="1"/>
  <c r="C12" i="29"/>
  <c r="G12" i="29" s="1"/>
  <c r="B12" i="29"/>
  <c r="D12" i="29" s="1"/>
  <c r="C11" i="29"/>
  <c r="G11" i="29" s="1"/>
  <c r="B11" i="29"/>
  <c r="D11" i="29" s="1"/>
  <c r="C10" i="29"/>
  <c r="G10" i="29" s="1"/>
  <c r="B10" i="29"/>
  <c r="D10" i="29" s="1"/>
  <c r="C9" i="29"/>
  <c r="G9" i="29" s="1"/>
  <c r="B9" i="29"/>
  <c r="D9" i="29" s="1"/>
  <c r="C8" i="29"/>
  <c r="G8" i="29" s="1"/>
  <c r="B8" i="29"/>
  <c r="D8" i="29" s="1"/>
  <c r="C7" i="29"/>
  <c r="G7" i="29" s="1"/>
  <c r="B7" i="29"/>
  <c r="D7" i="29" s="1"/>
  <c r="C6" i="29"/>
  <c r="G6" i="29" s="1"/>
  <c r="B6" i="29"/>
  <c r="D6" i="29" s="1"/>
  <c r="C35" i="28"/>
  <c r="D21" i="28"/>
  <c r="H10" i="28"/>
  <c r="H8" i="28"/>
  <c r="H6" i="28"/>
  <c r="J14" i="27"/>
  <c r="H14" i="27"/>
  <c r="I14" i="27" s="1"/>
  <c r="J13" i="27"/>
  <c r="H13" i="27"/>
  <c r="I13" i="27" s="1"/>
  <c r="J12" i="27"/>
  <c r="H12" i="27"/>
  <c r="I12" i="27" s="1"/>
  <c r="J11" i="27"/>
  <c r="H11" i="27"/>
  <c r="I11" i="27" s="1"/>
  <c r="J10" i="27"/>
  <c r="H10" i="27"/>
  <c r="I10" i="27" s="1"/>
  <c r="J9" i="27"/>
  <c r="H9" i="27"/>
  <c r="I9" i="27" s="1"/>
  <c r="J8" i="27"/>
  <c r="H8" i="27"/>
  <c r="I8" i="27" s="1"/>
  <c r="J7" i="27"/>
  <c r="H7" i="27"/>
  <c r="I7" i="27" s="1"/>
  <c r="J6" i="27"/>
  <c r="J16" i="27" s="1"/>
  <c r="H6" i="27"/>
  <c r="E11" i="26"/>
  <c r="D11" i="26"/>
  <c r="C11" i="26"/>
  <c r="F10" i="26"/>
  <c r="F9" i="26"/>
  <c r="F8" i="26"/>
  <c r="F7" i="26"/>
  <c r="F6" i="26"/>
  <c r="G14" i="25"/>
  <c r="E14" i="25"/>
  <c r="G13" i="25"/>
  <c r="E13" i="25"/>
  <c r="G12" i="25"/>
  <c r="E12" i="25"/>
  <c r="G11" i="25"/>
  <c r="E11" i="25"/>
  <c r="G10" i="25"/>
  <c r="E10" i="25"/>
  <c r="G9" i="25"/>
  <c r="E9" i="25"/>
  <c r="G8" i="25"/>
  <c r="E8" i="25"/>
  <c r="G7" i="25"/>
  <c r="E7" i="25"/>
  <c r="A32" i="24"/>
  <c r="B8" i="24"/>
  <c r="B7" i="24"/>
  <c r="B6" i="24"/>
  <c r="B5" i="24"/>
  <c r="B30" i="22"/>
  <c r="B29" i="22"/>
  <c r="B28" i="22"/>
  <c r="B27" i="22"/>
  <c r="B26" i="22"/>
  <c r="B25" i="22"/>
  <c r="B24" i="22"/>
  <c r="B23" i="22"/>
  <c r="B22" i="22"/>
  <c r="B20" i="22"/>
  <c r="B19" i="22"/>
  <c r="B18" i="22"/>
  <c r="B17" i="22"/>
  <c r="B16" i="22"/>
  <c r="B15" i="22"/>
  <c r="B14" i="22"/>
  <c r="B13" i="22"/>
  <c r="B12" i="22"/>
  <c r="B10" i="22"/>
  <c r="B9" i="22"/>
  <c r="B8" i="22"/>
  <c r="B7" i="22"/>
  <c r="B6" i="22"/>
  <c r="B5" i="22"/>
  <c r="I21" i="21"/>
  <c r="I20" i="21"/>
  <c r="I19" i="21"/>
  <c r="I18" i="21"/>
  <c r="I17" i="21"/>
  <c r="I16" i="21"/>
  <c r="I15" i="21"/>
  <c r="I14" i="21"/>
  <c r="I13" i="21"/>
  <c r="I12" i="21"/>
  <c r="I11" i="21"/>
  <c r="I10" i="21"/>
  <c r="I9" i="21"/>
  <c r="I8" i="21"/>
  <c r="I7" i="21"/>
  <c r="I6" i="21"/>
  <c r="I26" i="19"/>
  <c r="I45" i="18"/>
  <c r="I44" i="18"/>
  <c r="I43" i="18"/>
  <c r="I42" i="18"/>
  <c r="I41" i="18"/>
  <c r="I40" i="18"/>
  <c r="I39" i="18"/>
  <c r="I38" i="18"/>
  <c r="I37" i="18"/>
  <c r="I36" i="18"/>
  <c r="I35" i="18"/>
  <c r="I34" i="18"/>
  <c r="I33" i="18"/>
  <c r="I32" i="18"/>
  <c r="I31" i="18"/>
  <c r="I30" i="18"/>
  <c r="I29" i="18"/>
  <c r="I28" i="18"/>
  <c r="I27" i="18"/>
  <c r="I26" i="18"/>
  <c r="I25" i="18"/>
  <c r="I24" i="18"/>
  <c r="I23" i="18"/>
  <c r="I22" i="18"/>
  <c r="I21" i="18"/>
  <c r="I20" i="18"/>
  <c r="I19" i="18"/>
  <c r="I18" i="18"/>
  <c r="I17" i="18"/>
  <c r="I16" i="18"/>
  <c r="I15" i="18"/>
  <c r="I14" i="18"/>
  <c r="I13" i="18"/>
  <c r="I12" i="18"/>
  <c r="I11" i="18"/>
  <c r="I10" i="18"/>
  <c r="L9" i="18"/>
  <c r="I9" i="18"/>
  <c r="L8" i="18"/>
  <c r="I8" i="18"/>
  <c r="L7" i="18"/>
  <c r="I7" i="18"/>
  <c r="L6" i="18"/>
  <c r="I6" i="18"/>
  <c r="L10" i="18" s="1"/>
  <c r="F24" i="17"/>
  <c r="H24" i="17" s="1"/>
  <c r="F23" i="17"/>
  <c r="H23" i="17" s="1"/>
  <c r="F22" i="17"/>
  <c r="H22" i="17" s="1"/>
  <c r="F21" i="17"/>
  <c r="H21" i="17" s="1"/>
  <c r="F20" i="17"/>
  <c r="H20" i="17" s="1"/>
  <c r="F19" i="17"/>
  <c r="H19" i="17" s="1"/>
  <c r="G18" i="17"/>
  <c r="G17" i="17"/>
  <c r="G16" i="17"/>
  <c r="G15" i="17"/>
  <c r="G14" i="17"/>
  <c r="G13" i="17"/>
  <c r="D13" i="17"/>
  <c r="F13" i="17" s="1"/>
  <c r="H13" i="17" s="1"/>
  <c r="G12" i="17"/>
  <c r="D12" i="17"/>
  <c r="F12" i="17" s="1"/>
  <c r="H12" i="17" s="1"/>
  <c r="G11" i="17"/>
  <c r="D11" i="17"/>
  <c r="F11" i="17" s="1"/>
  <c r="H11" i="17" s="1"/>
  <c r="G10" i="17"/>
  <c r="D10" i="17"/>
  <c r="F10" i="17" s="1"/>
  <c r="H10" i="17" s="1"/>
  <c r="G9" i="17"/>
  <c r="D9" i="17"/>
  <c r="F9" i="17" s="1"/>
  <c r="H9" i="17" s="1"/>
  <c r="G8" i="17"/>
  <c r="G7" i="17"/>
  <c r="G6" i="17"/>
  <c r="D15" i="15"/>
  <c r="A19" i="15" s="1"/>
  <c r="F14" i="15"/>
  <c r="E14" i="15"/>
  <c r="B14" i="15"/>
  <c r="F13" i="15"/>
  <c r="E13" i="15"/>
  <c r="B13" i="15"/>
  <c r="F12" i="15"/>
  <c r="E12" i="15"/>
  <c r="F11" i="15"/>
  <c r="E11" i="15"/>
  <c r="B11" i="15"/>
  <c r="F10" i="15"/>
  <c r="E10" i="15"/>
  <c r="F9" i="15"/>
  <c r="E9" i="15"/>
  <c r="F8" i="15"/>
  <c r="E8" i="15"/>
  <c r="F7" i="15"/>
  <c r="E7" i="15"/>
  <c r="F6" i="15"/>
  <c r="F15" i="15" s="1"/>
  <c r="E6" i="15"/>
  <c r="A17" i="14"/>
  <c r="A16" i="14"/>
  <c r="A15" i="14"/>
  <c r="A14" i="14"/>
  <c r="A13" i="14"/>
  <c r="A12" i="14"/>
  <c r="A11" i="14"/>
  <c r="A10" i="14"/>
  <c r="A9" i="14"/>
  <c r="A34" i="13"/>
  <c r="A26" i="24" s="1"/>
  <c r="D26" i="13"/>
  <c r="D29" i="13" s="1"/>
  <c r="B12" i="24" s="1"/>
  <c r="F25" i="13"/>
  <c r="E25" i="13"/>
  <c r="C24" i="13"/>
  <c r="F23" i="13"/>
  <c r="E23" i="13"/>
  <c r="F22" i="13"/>
  <c r="E22" i="13"/>
  <c r="F20" i="13"/>
  <c r="E20" i="13"/>
  <c r="F19" i="13"/>
  <c r="E19" i="13"/>
  <c r="F18" i="13"/>
  <c r="E18" i="13"/>
  <c r="F15" i="13"/>
  <c r="E15" i="13"/>
  <c r="F14" i="13"/>
  <c r="E14" i="13"/>
  <c r="D22" i="12"/>
  <c r="D21" i="12"/>
  <c r="D20" i="12"/>
  <c r="D19" i="12"/>
  <c r="D18" i="12"/>
  <c r="D17" i="12"/>
  <c r="D16" i="12"/>
  <c r="D15" i="12"/>
  <c r="D23" i="12" s="1"/>
  <c r="C17" i="13" s="1"/>
  <c r="D12" i="12"/>
  <c r="D11" i="12"/>
  <c r="D10" i="12"/>
  <c r="D9" i="12"/>
  <c r="D8" i="12"/>
  <c r="D7" i="12"/>
  <c r="D6" i="12"/>
  <c r="D13" i="12" s="1"/>
  <c r="C16" i="13" s="1"/>
  <c r="D11" i="11"/>
  <c r="E11" i="11" s="1"/>
  <c r="D10" i="11"/>
  <c r="E10" i="11" s="1"/>
  <c r="D9" i="11"/>
  <c r="E9" i="11" s="1"/>
  <c r="D8" i="11"/>
  <c r="E8" i="11" s="1"/>
  <c r="D7" i="11"/>
  <c r="E7" i="11" s="1"/>
  <c r="D6" i="11"/>
  <c r="B22" i="8"/>
  <c r="F13" i="8"/>
  <c r="G13" i="8" s="1"/>
  <c r="F12" i="8"/>
  <c r="G12" i="8" s="1"/>
  <c r="F11" i="8"/>
  <c r="G11" i="8" s="1"/>
  <c r="F10" i="8"/>
  <c r="G10" i="8" s="1"/>
  <c r="B11" i="7"/>
  <c r="B10" i="7"/>
  <c r="B8" i="7"/>
  <c r="J17" i="6"/>
  <c r="C17" i="6"/>
  <c r="B17" i="6"/>
  <c r="A17" i="6"/>
  <c r="J16" i="6"/>
  <c r="C16" i="6"/>
  <c r="B16" i="6"/>
  <c r="A16" i="6"/>
  <c r="J15" i="6"/>
  <c r="C15" i="6"/>
  <c r="B15" i="6"/>
  <c r="A15" i="6"/>
  <c r="J14" i="6"/>
  <c r="C14" i="6"/>
  <c r="B14" i="6"/>
  <c r="A14" i="6"/>
  <c r="J13" i="6"/>
  <c r="C13" i="6"/>
  <c r="B13" i="6"/>
  <c r="A13" i="6"/>
  <c r="J12" i="6"/>
  <c r="C12" i="6"/>
  <c r="B12" i="6"/>
  <c r="A12" i="6"/>
  <c r="J11" i="6"/>
  <c r="C11" i="6"/>
  <c r="B11" i="6"/>
  <c r="A11" i="6"/>
  <c r="J10" i="6"/>
  <c r="C10" i="6"/>
  <c r="B10" i="6"/>
  <c r="A10" i="6"/>
  <c r="J9" i="6"/>
  <c r="C9" i="6"/>
  <c r="B9" i="6"/>
  <c r="A9" i="6"/>
  <c r="J8" i="6"/>
  <c r="C8" i="6"/>
  <c r="B8" i="6"/>
  <c r="A8" i="6"/>
  <c r="A8" i="14" s="1"/>
  <c r="J7" i="6"/>
  <c r="C7" i="6"/>
  <c r="B7" i="6"/>
  <c r="A7" i="6"/>
  <c r="A7" i="14" s="1"/>
  <c r="J6" i="6"/>
  <c r="C6" i="6"/>
  <c r="B6" i="6"/>
  <c r="A6" i="6"/>
  <c r="A6" i="14" s="1"/>
  <c r="F13" i="5"/>
  <c r="G13" i="5" s="1"/>
  <c r="F12" i="5"/>
  <c r="G12" i="5" s="1"/>
  <c r="F11" i="5"/>
  <c r="G11" i="5" s="1"/>
  <c r="F10" i="5"/>
  <c r="G10" i="5" s="1"/>
  <c r="F9" i="5"/>
  <c r="G9" i="5" s="1"/>
  <c r="E17" i="4"/>
  <c r="F17" i="4" s="1"/>
  <c r="B11" i="3"/>
  <c r="C30" i="13" s="1"/>
  <c r="B10" i="3"/>
  <c r="B9" i="3"/>
  <c r="B7" i="3"/>
  <c r="B6" i="3"/>
  <c r="B5" i="3"/>
  <c r="G16" i="29" l="1"/>
  <c r="D16" i="29"/>
  <c r="H16" i="27"/>
  <c r="I6" i="27"/>
  <c r="H14" i="15"/>
  <c r="G14" i="15"/>
  <c r="G13" i="15"/>
  <c r="H13" i="15"/>
  <c r="H11" i="15"/>
  <c r="G11" i="15"/>
  <c r="E15" i="15"/>
  <c r="C29" i="30"/>
  <c r="F24" i="13"/>
  <c r="E24" i="13"/>
  <c r="E17" i="13"/>
  <c r="F17" i="13"/>
  <c r="C22" i="30"/>
  <c r="E16" i="13"/>
  <c r="F16" i="13"/>
  <c r="C21" i="30"/>
  <c r="B12" i="15"/>
  <c r="E6" i="11"/>
  <c r="E12" i="11" s="1"/>
  <c r="B22" i="24" s="1"/>
  <c r="D12" i="11"/>
  <c r="B14" i="7"/>
  <c r="B12" i="7"/>
  <c r="B13" i="7" s="1"/>
  <c r="H17" i="6"/>
  <c r="B17" i="14" s="1"/>
  <c r="E17" i="14" s="1"/>
  <c r="G17" i="6"/>
  <c r="C17" i="14" s="1"/>
  <c r="D17" i="14" s="1"/>
  <c r="F17" i="14" s="1"/>
  <c r="H16" i="6"/>
  <c r="B16" i="14" s="1"/>
  <c r="E16" i="14" s="1"/>
  <c r="G16" i="6"/>
  <c r="C16" i="14" s="1"/>
  <c r="D16" i="14" s="1"/>
  <c r="F16" i="14" s="1"/>
  <c r="G15" i="6"/>
  <c r="C15" i="14" s="1"/>
  <c r="D15" i="14" s="1"/>
  <c r="C5" i="14"/>
  <c r="A24" i="6"/>
  <c r="A22" i="6"/>
  <c r="D5" i="9"/>
  <c r="C5" i="9"/>
  <c r="B5" i="9"/>
  <c r="D5" i="8"/>
  <c r="C5" i="8"/>
  <c r="B5" i="8"/>
  <c r="A17" i="7"/>
  <c r="A8" i="7"/>
  <c r="A23" i="6"/>
  <c r="A21" i="6"/>
  <c r="B17" i="3"/>
  <c r="A6" i="7"/>
  <c r="A7" i="7"/>
  <c r="A5" i="7"/>
  <c r="B5" i="14"/>
  <c r="C5" i="5"/>
  <c r="H5" i="6"/>
  <c r="G5" i="6"/>
  <c r="D5" i="6"/>
  <c r="C5" i="6"/>
  <c r="B5" i="6"/>
  <c r="B5" i="5"/>
  <c r="D5" i="5"/>
  <c r="E5" i="4"/>
  <c r="C5" i="4"/>
  <c r="B18" i="3"/>
  <c r="B5" i="4"/>
  <c r="D14" i="11" l="1"/>
  <c r="C8" i="13" s="1"/>
  <c r="C14" i="25"/>
  <c r="F14" i="25" s="1"/>
  <c r="C13" i="13"/>
  <c r="F6" i="5"/>
  <c r="F8" i="5"/>
  <c r="G8" i="5" s="1"/>
  <c r="F6" i="8"/>
  <c r="F7" i="8"/>
  <c r="G7" i="8" s="1"/>
  <c r="F8" i="8"/>
  <c r="G8" i="8" s="1"/>
  <c r="F9" i="8"/>
  <c r="G9" i="8" s="1"/>
  <c r="F7" i="5"/>
  <c r="G7" i="5" s="1"/>
  <c r="B19" i="3"/>
  <c r="E8" i="4"/>
  <c r="F8" i="4" s="1"/>
  <c r="E11" i="4"/>
  <c r="F11" i="4" s="1"/>
  <c r="E14" i="4"/>
  <c r="F14" i="4" s="1"/>
  <c r="H6" i="6"/>
  <c r="E7" i="4"/>
  <c r="F7" i="4" s="1"/>
  <c r="E10" i="4"/>
  <c r="F10" i="4" s="1"/>
  <c r="E13" i="4"/>
  <c r="F13" i="4" s="1"/>
  <c r="E16" i="4"/>
  <c r="F16" i="4" s="1"/>
  <c r="B47" i="6"/>
  <c r="D6" i="9" s="1"/>
  <c r="E6" i="9" s="1"/>
  <c r="B48" i="6"/>
  <c r="D7" i="9" s="1"/>
  <c r="E7" i="9" s="1"/>
  <c r="G7" i="9" s="1"/>
  <c r="B18" i="7"/>
  <c r="E8" i="9"/>
  <c r="G8" i="9" s="1"/>
  <c r="E9" i="9"/>
  <c r="G9" i="9" s="1"/>
  <c r="G6" i="6"/>
  <c r="E10" i="9"/>
  <c r="G10" i="9" s="1"/>
  <c r="E6" i="4"/>
  <c r="E9" i="4"/>
  <c r="F9" i="4" s="1"/>
  <c r="E12" i="4"/>
  <c r="F12" i="4" s="1"/>
  <c r="E15" i="4"/>
  <c r="F15" i="4" s="1"/>
  <c r="G12" i="15"/>
  <c r="H12" i="15"/>
  <c r="H15" i="6"/>
  <c r="B15" i="14" s="1"/>
  <c r="E15" i="14" s="1"/>
  <c r="F15" i="14" s="1"/>
  <c r="G14" i="6"/>
  <c r="C14" i="14" s="1"/>
  <c r="D14" i="14" s="1"/>
  <c r="H14" i="6"/>
  <c r="B14" i="14" s="1"/>
  <c r="E14" i="14" s="1"/>
  <c r="G13" i="6"/>
  <c r="C13" i="14" s="1"/>
  <c r="D13" i="14" s="1"/>
  <c r="H13" i="6"/>
  <c r="B13" i="14" s="1"/>
  <c r="E13" i="14" s="1"/>
  <c r="G12" i="6"/>
  <c r="C12" i="14" s="1"/>
  <c r="D12" i="14" s="1"/>
  <c r="F12" i="14" s="1"/>
  <c r="H12" i="6"/>
  <c r="B12" i="14" s="1"/>
  <c r="E12" i="14" s="1"/>
  <c r="H11" i="6"/>
  <c r="B11" i="14" s="1"/>
  <c r="E11" i="14" s="1"/>
  <c r="G11" i="6"/>
  <c r="C11" i="14" s="1"/>
  <c r="D11" i="14" s="1"/>
  <c r="F11" i="14" s="1"/>
  <c r="H10" i="6"/>
  <c r="B10" i="14" s="1"/>
  <c r="E10" i="14" s="1"/>
  <c r="G10" i="6"/>
  <c r="C10" i="14" s="1"/>
  <c r="D10" i="14" s="1"/>
  <c r="F10" i="14" s="1"/>
  <c r="G8" i="6"/>
  <c r="C8" i="14" s="1"/>
  <c r="D8" i="14" s="1"/>
  <c r="G7" i="6"/>
  <c r="C7" i="14" s="1"/>
  <c r="D7" i="14" s="1"/>
  <c r="H9" i="6"/>
  <c r="B9" i="14" s="1"/>
  <c r="E9" i="14" s="1"/>
  <c r="G9" i="6"/>
  <c r="C9" i="14" s="1"/>
  <c r="D9" i="14" s="1"/>
  <c r="F9" i="14" s="1"/>
  <c r="H8" i="6"/>
  <c r="B8" i="14" s="1"/>
  <c r="E8" i="14" s="1"/>
  <c r="H7" i="6"/>
  <c r="B7" i="14" s="1"/>
  <c r="E7" i="14" s="1"/>
  <c r="E8" i="13" l="1"/>
  <c r="F8" i="13"/>
  <c r="C13" i="30"/>
  <c r="E13" i="13"/>
  <c r="F13" i="13"/>
  <c r="C18" i="30"/>
  <c r="G6" i="5"/>
  <c r="G14" i="5" s="1"/>
  <c r="F14" i="5"/>
  <c r="B18" i="5" s="1"/>
  <c r="G6" i="8"/>
  <c r="G14" i="8" s="1"/>
  <c r="F14" i="8"/>
  <c r="B6" i="14"/>
  <c r="H18" i="6"/>
  <c r="G6" i="9"/>
  <c r="G11" i="9" s="1"/>
  <c r="E11" i="9"/>
  <c r="C6" i="14"/>
  <c r="G18" i="6"/>
  <c r="F6" i="4"/>
  <c r="F18" i="4" s="1"/>
  <c r="E18" i="4"/>
  <c r="C7" i="25" s="1"/>
  <c r="F7" i="25" s="1"/>
  <c r="F14" i="14"/>
  <c r="F13" i="14"/>
  <c r="F8" i="14"/>
  <c r="F7" i="14"/>
  <c r="C21" i="13"/>
  <c r="B21" i="7"/>
  <c r="B19" i="5" l="1"/>
  <c r="B22" i="5"/>
  <c r="C6" i="13" s="1"/>
  <c r="B21" i="8"/>
  <c r="B33" i="8"/>
  <c r="B23" i="24"/>
  <c r="C8" i="25"/>
  <c r="F8" i="25" s="1"/>
  <c r="E6" i="14"/>
  <c r="E20" i="14" s="1"/>
  <c r="B20" i="14"/>
  <c r="B6" i="10"/>
  <c r="B40" i="6"/>
  <c r="B21" i="9"/>
  <c r="B23" i="9"/>
  <c r="B24" i="9" s="1"/>
  <c r="C9" i="25"/>
  <c r="F9" i="25" s="1"/>
  <c r="B25" i="9"/>
  <c r="D6" i="14"/>
  <c r="C20" i="14"/>
  <c r="B37" i="6"/>
  <c r="B38" i="6" s="1"/>
  <c r="B5" i="10"/>
  <c r="C26" i="30"/>
  <c r="F21" i="13"/>
  <c r="E21" i="13"/>
  <c r="E6" i="13" l="1"/>
  <c r="F6" i="13"/>
  <c r="B6" i="15"/>
  <c r="C11" i="30"/>
  <c r="B25" i="8"/>
  <c r="B26" i="8"/>
  <c r="B27" i="8"/>
  <c r="B42" i="6"/>
  <c r="C11" i="13" s="1"/>
  <c r="B41" i="6"/>
  <c r="B22" i="9"/>
  <c r="B26" i="9" s="1"/>
  <c r="C9" i="13" s="1"/>
  <c r="B20" i="24"/>
  <c r="D14" i="17"/>
  <c r="F14" i="17" s="1"/>
  <c r="H14" i="17" s="1"/>
  <c r="C12" i="25"/>
  <c r="F12" i="25" s="1"/>
  <c r="F6" i="14"/>
  <c r="F20" i="14" s="1"/>
  <c r="D20" i="14"/>
  <c r="B18" i="24"/>
  <c r="B39" i="6"/>
  <c r="C12" i="13" s="1"/>
  <c r="D16" i="17"/>
  <c r="F16" i="17" s="1"/>
  <c r="H16" i="17" s="1"/>
  <c r="C10" i="25"/>
  <c r="F10" i="25" s="1"/>
  <c r="B7" i="10"/>
  <c r="G6" i="15" l="1"/>
  <c r="H6" i="15"/>
  <c r="B21" i="24"/>
  <c r="C13" i="25"/>
  <c r="F13" i="25" s="1"/>
  <c r="D6" i="17"/>
  <c r="F6" i="17" s="1"/>
  <c r="H6" i="17" s="1"/>
  <c r="B30" i="8"/>
  <c r="D7" i="17"/>
  <c r="F7" i="17" s="1"/>
  <c r="H7" i="17" s="1"/>
  <c r="B31" i="8"/>
  <c r="D8" i="17"/>
  <c r="F8" i="17" s="1"/>
  <c r="H8" i="17" s="1"/>
  <c r="B32" i="8"/>
  <c r="E11" i="13"/>
  <c r="F11" i="13"/>
  <c r="C16" i="30"/>
  <c r="B9" i="15"/>
  <c r="D15" i="17"/>
  <c r="F15" i="17" s="1"/>
  <c r="H15" i="17" s="1"/>
  <c r="C11" i="25"/>
  <c r="F11" i="25" s="1"/>
  <c r="B19" i="24"/>
  <c r="E9" i="13"/>
  <c r="F9" i="13"/>
  <c r="C14" i="30"/>
  <c r="G6" i="14"/>
  <c r="G7" i="14"/>
  <c r="G8" i="14"/>
  <c r="G9" i="14"/>
  <c r="G10" i="14"/>
  <c r="G11" i="14"/>
  <c r="G12" i="14"/>
  <c r="G13" i="14"/>
  <c r="G14" i="14"/>
  <c r="G15" i="14"/>
  <c r="G16" i="14"/>
  <c r="G17" i="14"/>
  <c r="E12" i="13"/>
  <c r="F12" i="13"/>
  <c r="C17" i="30"/>
  <c r="B10" i="15"/>
  <c r="B17" i="10"/>
  <c r="B18" i="10" s="1"/>
  <c r="B26" i="10"/>
  <c r="G9" i="15" l="1"/>
  <c r="H9" i="15"/>
  <c r="H10" i="15"/>
  <c r="G10" i="15"/>
  <c r="B20" i="10"/>
  <c r="B19" i="10"/>
  <c r="B34" i="8"/>
  <c r="C7" i="13" s="1"/>
  <c r="B24" i="10" l="1"/>
  <c r="D18" i="17"/>
  <c r="F18" i="17" s="1"/>
  <c r="H18" i="17" s="1"/>
  <c r="B23" i="10"/>
  <c r="B25" i="10" s="1"/>
  <c r="C10" i="13" s="1"/>
  <c r="D17" i="17"/>
  <c r="F17" i="17" s="1"/>
  <c r="H17" i="17" s="1"/>
  <c r="H25" i="17" s="1"/>
  <c r="B24" i="24" s="1"/>
  <c r="C12" i="30"/>
  <c r="B7" i="15"/>
  <c r="F7" i="13"/>
  <c r="E7" i="13"/>
  <c r="C26" i="13"/>
  <c r="B8" i="15" l="1"/>
  <c r="B15" i="15" s="1"/>
  <c r="E10" i="13"/>
  <c r="F10" i="13"/>
  <c r="C15" i="30"/>
  <c r="C31" i="30" s="1"/>
  <c r="H7" i="15"/>
  <c r="G7" i="15"/>
  <c r="C27" i="13"/>
  <c r="E26" i="13"/>
  <c r="H8" i="15" l="1"/>
  <c r="G8" i="15"/>
  <c r="C13" i="15"/>
  <c r="C10" i="15"/>
  <c r="C8" i="15"/>
  <c r="C7" i="15"/>
  <c r="C12" i="15"/>
  <c r="C6" i="15"/>
  <c r="C14" i="15"/>
  <c r="C11" i="15"/>
  <c r="C9" i="15"/>
  <c r="A17" i="15"/>
  <c r="G15" i="15"/>
  <c r="C32" i="30"/>
  <c r="C28" i="13"/>
  <c r="C15" i="15" l="1"/>
  <c r="C33" i="30"/>
  <c r="C34" i="30" s="1"/>
  <c r="C29" i="13"/>
  <c r="C32" i="13" l="1"/>
  <c r="B14" i="24" s="1"/>
  <c r="C31" i="13"/>
  <c r="B13" i="24" s="1"/>
  <c r="H5" i="28"/>
  <c r="H7" i="28" s="1"/>
  <c r="H9" i="28" s="1"/>
  <c r="B11" i="24"/>
  <c r="B15" i="24" s="1"/>
</calcChain>
</file>

<file path=xl/sharedStrings.xml><?xml version="1.0" encoding="utf-8"?>
<sst xmlns="http://schemas.openxmlformats.org/spreadsheetml/2006/main" count="1163" uniqueCount="762">
  <si>
    <t>CONSTRUCTION CALCULATOR - INDIA</t>
  </si>
  <si>
    <t>Plan, estimate and track your build or renovation. Yellow cells are for you to fill in. Green cells calculate automatically.</t>
  </si>
  <si>
    <t>START IN 5 STEPS</t>
  </si>
  <si>
    <t>Step</t>
  </si>
  <si>
    <t>Where</t>
  </si>
  <si>
    <t>What to do</t>
  </si>
  <si>
    <t>1</t>
  </si>
  <si>
    <t>Quick Start</t>
  </si>
  <si>
    <t>Answer the six questions: project name, client, built-up area, budget, city, and Feet or Metres.</t>
  </si>
  <si>
    <t>2</t>
  </si>
  <si>
    <t>Rates</t>
  </si>
  <si>
    <t>Type in your local rates. Costs stay at zero until you do.</t>
  </si>
  <si>
    <t>3</t>
  </si>
  <si>
    <t>Room Area to Steel</t>
  </si>
  <si>
    <t>Enter room sizes, openings and quantities in the yellow boxes.</t>
  </si>
  <si>
    <t>4</t>
  </si>
  <si>
    <t>Cost Estimate</t>
  </si>
  <si>
    <t>Add costs for items the calculators don't cover. Tag each one with a stage.</t>
  </si>
  <si>
    <t>5</t>
  </si>
  <si>
    <t>Order List and Stage Budget</t>
  </si>
  <si>
    <t>Use the Order List to buy materials, and the Stage Budget to check money stage by stage.</t>
  </si>
  <si>
    <t>WHAT'S INSIDE</t>
  </si>
  <si>
    <t>Tab</t>
  </si>
  <si>
    <t>What it does</t>
  </si>
  <si>
    <t>Six answers to start: name, client, area, budget, city, and Feet or Metres.</t>
  </si>
  <si>
    <t>Assumptions</t>
  </si>
  <si>
    <t>Every factor the calculations use, with where to change it and its source status.</t>
  </si>
  <si>
    <t>Terms &amp; Disclaimer</t>
  </si>
  <si>
    <t>What this file is, what it is not, and what remains to be completed before sale.</t>
  </si>
  <si>
    <t>Setup</t>
  </si>
  <si>
    <t>Project type, contingency and GST. Name, area, budget and units come from Quick Start.</t>
  </si>
  <si>
    <t>Room Area</t>
  </si>
  <si>
    <t>Floor area of each room, in sq ft and sq m.</t>
  </si>
  <si>
    <t>Earthwork</t>
  </si>
  <si>
    <t>Volume of soil to dig for foundations, trenches and pits, with cost.</t>
  </si>
  <si>
    <t>Paint &amp; Tiles</t>
  </si>
  <si>
    <t>Paint litres and tile count, totalled for every room.</t>
  </si>
  <si>
    <t>Exterior &amp; Roof</t>
  </si>
  <si>
    <t>Outside wall paint and flat roof waterproofing, with labour.</t>
  </si>
  <si>
    <t>Room Costs</t>
  </si>
  <si>
    <t>Paint and tile cost for each room, with each room's share.</t>
  </si>
  <si>
    <t>Concrete</t>
  </si>
  <si>
    <t>Concrete volume, cement, sand and aggregate quantities, and cost.</t>
  </si>
  <si>
    <t>Bricks &amp; Blocks</t>
  </si>
  <si>
    <t>Brick count, AAC block count and masonry labour.</t>
  </si>
  <si>
    <t>Plaster</t>
  </si>
  <si>
    <t>Plaster cement, sand and cost for walls and ceilings.</t>
  </si>
  <si>
    <t>Services</t>
  </si>
  <si>
    <t>Count of plumbing and electrical points, with cost per point.</t>
  </si>
  <si>
    <t>Steel</t>
  </si>
  <si>
    <t>Steel weight from bar size and number of bars.</t>
  </si>
  <si>
    <t>Full estimate, with contingency, GST and actual spend.</t>
  </si>
  <si>
    <t>Stage Budget</t>
  </si>
  <si>
    <t>Estimate and actual spend for each stage, against your target.</t>
  </si>
  <si>
    <t>Stage Checklist</t>
  </si>
  <si>
    <t>Checks to tick off before moving to the next stage.</t>
  </si>
  <si>
    <t>Order List</t>
  </si>
  <si>
    <t>Materials to buy, with wastage, supplier and order-by date.</t>
  </si>
  <si>
    <t>Task Tracker</t>
  </si>
  <si>
    <t>Tasks by stage and room, with who does them, due dates and overdue flags.</t>
  </si>
  <si>
    <t>Permits</t>
  </si>
  <si>
    <t>Approvals and permits to apply for, with status and dates.</t>
  </si>
  <si>
    <t>Your local rates. Used by every calculator.</t>
  </si>
  <si>
    <t>Rate Quotes</t>
  </si>
  <si>
    <t>Compare two supplier quotes and copy the lower rate to Rates.</t>
  </si>
  <si>
    <t>Dashboard</t>
  </si>
  <si>
    <t>Charts and key numbers for the whole project.</t>
  </si>
  <si>
    <t>Bill Check</t>
  </si>
  <si>
    <t>Compare a contractor's claimed quantities with your calculations.</t>
  </si>
  <si>
    <t>Projects</t>
  </si>
  <si>
    <t>Track up to five projects in one file.</t>
  </si>
  <si>
    <t>Bids</t>
  </si>
  <si>
    <t>Compare up to three contractor quotes per job.</t>
  </si>
  <si>
    <t>Payments</t>
  </si>
  <si>
    <t>Record payments and change orders, and see the balance still to pay.</t>
  </si>
  <si>
    <t>Timeline</t>
  </si>
  <si>
    <t>Task schedule with dates, progress and days left.</t>
  </si>
  <si>
    <t>Quotation</t>
  </si>
  <si>
    <t>Printable quotation for your client.</t>
  </si>
  <si>
    <t>Rate Library</t>
  </si>
  <si>
    <t>Keep supplier rates by city and copy them to Rates.</t>
  </si>
  <si>
    <t>IMPORTANT</t>
  </si>
  <si>
    <t>- These are estimates for planning. They are not a structural design. Have a qualified engineer check the design and quantities.</t>
  </si>
  <si>
    <t>- Rates, wastage and coverage vary by supplier and site. Replace the blank rates with your own quotes before relying on the totals.</t>
  </si>
  <si>
    <t>- Sheets are protected with no password. To change a formula: Review &gt; Unprotect Sheet.</t>
  </si>
  <si>
    <t>- Costs appear only after you enter rates on the Rates tab. Until then, every cost shows zero.</t>
  </si>
  <si>
    <t>- Changing Units does not convert numbers you have already typed. Re-enter them after switching.</t>
  </si>
  <si>
    <t>- This file does NOT calculate: plumbing and electrical quantities, the price of doors and windows, external wall painting, waterproofing area, roofing, labour for tiles and paint, transport, approval fees, backfilling and soil removal. Enter these by hand or get quotes.</t>
  </si>
  <si>
    <t>- Paint is calculated on walls only. Ceilings are not painted in the calculation. Add ceiling paint under Other.</t>
  </si>
  <si>
    <t>- The estimate uses the brick option only. AAC blocks are calculated on the Bricks &amp; Blocks tab but are not in the Cost Estimate. Choose one or the other.</t>
  </si>
  <si>
    <t>- Tested in LibreOffice only. Not yet tested in Microsoft Excel or Google Sheets.</t>
  </si>
  <si>
    <t>- The Assumptions tab lists every factor the calculations use. The Terms tab sets out what the file is and is not. Read both before relying on any figure.</t>
  </si>
  <si>
    <t>QUICK START</t>
  </si>
  <si>
    <t>Answer these six questions first. The rest of the file uses your answers.</t>
  </si>
  <si>
    <t>Question</t>
  </si>
  <si>
    <t>Your answer</t>
  </si>
  <si>
    <t>Why we need it</t>
  </si>
  <si>
    <t>Project name</t>
  </si>
  <si>
    <t>My Home Project</t>
  </si>
  <si>
    <t>Shown on every tab and on the quotation</t>
  </si>
  <si>
    <t>Client / owner</t>
  </si>
  <si>
    <t>Shown on the quotation</t>
  </si>
  <si>
    <t>Built-up area</t>
  </si>
  <si>
    <t>Total floor area of the building, in the units you choose below</t>
  </si>
  <si>
    <t>Target budget (₹)</t>
  </si>
  <si>
    <t>The most you plan to spend</t>
  </si>
  <si>
    <t>City</t>
  </si>
  <si>
    <t>Chennai</t>
  </si>
  <si>
    <t>For your reference</t>
  </si>
  <si>
    <t>Units</t>
  </si>
  <si>
    <t>Feet</t>
  </si>
  <si>
    <t>Feet or Metres. Set this before you measure anything. Changing it does not convert numbers already typed.</t>
  </si>
  <si>
    <t>THEN WORK THROUGH THESE TABS IN ORDER</t>
  </si>
  <si>
    <t>Enter each room's size.</t>
  </si>
  <si>
    <t>Enter each room once, with its doors and windows.</t>
  </si>
  <si>
    <t>Enter slabs, beams, columns and footings. Use the mix your engineer specifies.</t>
  </si>
  <si>
    <t>Enter wall lengths, heights and openings.</t>
  </si>
  <si>
    <t>Enter bar sizes and counts from your structural drawings.</t>
  </si>
  <si>
    <t>6</t>
  </si>
  <si>
    <t>Type in your own quotes. Costs show as zero until you do.</t>
  </si>
  <si>
    <t>7</t>
  </si>
  <si>
    <t>Add costs the calculators don't cover, and tag each with a stage.</t>
  </si>
  <si>
    <t>8</t>
  </si>
  <si>
    <t>Stage Budget and Order List</t>
  </si>
  <si>
    <t>Check spend by stage and see what to buy.</t>
  </si>
  <si>
    <t>Yellow cells are yours to change. Green cells calculate automatically.</t>
  </si>
  <si>
    <t>SETUP</t>
  </si>
  <si>
    <t>Enter this once for each project. Every calculator uses these settings.</t>
  </si>
  <si>
    <t>Setting</t>
  </si>
  <si>
    <t>Your entry</t>
  </si>
  <si>
    <t>What to enter</t>
  </si>
  <si>
    <t>Any name you like</t>
  </si>
  <si>
    <t>Name of the homeowner or client (used on the quotation)</t>
  </si>
  <si>
    <t>Project type</t>
  </si>
  <si>
    <t>New build</t>
  </si>
  <si>
    <t>For your reference. It doesn't change calculations.</t>
  </si>
  <si>
    <t>In the units you chose (sq ft or sq m). Total floor area.</t>
  </si>
  <si>
    <t>Contingency (%)</t>
  </si>
  <si>
    <t>Extra money for unknowns. Added to the estimate.</t>
  </si>
  <si>
    <t>GST on works (%)</t>
  </si>
  <si>
    <t>Leave at 0% until your accountant confirms the rate for your contract.</t>
  </si>
  <si>
    <t>Start date</t>
  </si>
  <si>
    <t>Drives the start of the Timeline.</t>
  </si>
  <si>
    <t>AUTOMATIC CONVERSIONS (do not edit)</t>
  </si>
  <si>
    <t>Length factor to feet</t>
  </si>
  <si>
    <t>Area factor to sq ft</t>
  </si>
  <si>
    <t>Built-up area in sq ft</t>
  </si>
  <si>
    <t>ROOM AREA</t>
  </si>
  <si>
    <t>Type the size of each room. The areas add up automatically.</t>
  </si>
  <si>
    <t>Room / space</t>
  </si>
  <si>
    <t>Count (identical rooms)</t>
  </si>
  <si>
    <t>Area (sq m)</t>
  </si>
  <si>
    <t>Living room</t>
  </si>
  <si>
    <t>Dining</t>
  </si>
  <si>
    <t>Kitchen</t>
  </si>
  <si>
    <t>Master bedroom</t>
  </si>
  <si>
    <t>Bedroom 2</t>
  </si>
  <si>
    <t>Bedroom 3</t>
  </si>
  <si>
    <t>Attached toilet 1</t>
  </si>
  <si>
    <t>Attached toilet 2</t>
  </si>
  <si>
    <t>Common toilet</t>
  </si>
  <si>
    <t>Passage / utility</t>
  </si>
  <si>
    <t>Foyer</t>
  </si>
  <si>
    <t>TOTAL</t>
  </si>
  <si>
    <t>Enter up to 12 rooms. Paint &amp; Tiles reads these rooms, so enter them once here.</t>
  </si>
  <si>
    <t>Tip: for 4 identical bathrooms, type 4 in Count. Count multiplies walls and floor.</t>
  </si>
  <si>
    <t>EARTHWORK</t>
  </si>
  <si>
    <t>Soil to dig for foundations, trenches and pits. Dimensions follow your Units setting.</t>
  </si>
  <si>
    <t>Item</t>
  </si>
  <si>
    <t>Count</t>
  </si>
  <si>
    <t>Volume (cu ft)</t>
  </si>
  <si>
    <t>Volume (m³)</t>
  </si>
  <si>
    <t>Foundation trench (outside walls)</t>
  </si>
  <si>
    <t>Foundation trench (inside walls)</t>
  </si>
  <si>
    <t>Septic tank pit</t>
  </si>
  <si>
    <t>TOTAL EXCAVATION (before allowance)</t>
  </si>
  <si>
    <t>ALLOWANCE</t>
  </si>
  <si>
    <t>Extra for over-digging and working space (%)</t>
  </si>
  <si>
    <t>Total to excavate (cu ft)</t>
  </si>
  <si>
    <t>Total to excavate (m³)</t>
  </si>
  <si>
    <t>COST (₹)</t>
  </si>
  <si>
    <t>Excavation cost (₹)</t>
  </si>
  <si>
    <t>Not included: backfilling, soil removal by lorry, dewatering and rock. Get a separate quote for soil removal.</t>
  </si>
  <si>
    <t>Excavation rate is on the Rates tab (row 16). It is a placeholder until you enter your own quote.</t>
  </si>
  <si>
    <t>PAINT &amp; TILES</t>
  </si>
  <si>
    <t>Enter each room once. Paint and tile totals add up all rooms. Dimensions follow your Units setting.</t>
  </si>
  <si>
    <t>ROOM DATA (walls for paint, floor for tiles)</t>
  </si>
  <si>
    <t>Room</t>
  </si>
  <si>
    <t>Doors (count)</t>
  </si>
  <si>
    <t>Windows (count)</t>
  </si>
  <si>
    <t>Notes</t>
  </si>
  <si>
    <t>Count (from Room Area)</t>
  </si>
  <si>
    <t>OPENINGS (standard size, applies to every room)</t>
  </si>
  <si>
    <t>PAINT SETTINGS</t>
  </si>
  <si>
    <t>Number of coats</t>
  </si>
  <si>
    <t>Paint coverage (sq ft per litre)</t>
  </si>
  <si>
    <t>Extra for waste (%)</t>
  </si>
  <si>
    <t>TILE SETTINGS</t>
  </si>
  <si>
    <t>Tile length (mm)</t>
  </si>
  <si>
    <t>Tile width (mm)</t>
  </si>
  <si>
    <t>Extra for cutting and breakage (%)</t>
  </si>
  <si>
    <t>RESULTS</t>
  </si>
  <si>
    <t>Net wall area to paint (sq ft)</t>
  </si>
  <si>
    <t>Litres of paint to buy</t>
  </si>
  <si>
    <t>Paint cost (₹)</t>
  </si>
  <si>
    <t>Floor area to tile (sq ft)</t>
  </si>
  <si>
    <t>Tiles to buy</t>
  </si>
  <si>
    <t>Tile cost (₹)</t>
  </si>
  <si>
    <t>Tip: enter a row per room. Leave unused rows blank. Count the openings in each room.</t>
  </si>
  <si>
    <t>OPENINGS TOTAL (linked to Bricks &amp; Blocks)</t>
  </si>
  <si>
    <t>Window area, all rooms (sq ft)</t>
  </si>
  <si>
    <t>Door area, all rooms (sq ft)</t>
  </si>
  <si>
    <t>EXTERIOR PAINT &amp; ROOF</t>
  </si>
  <si>
    <t>Outside walls and a flat roof. Dimensions follow your Units setting. Pitched roofs are not covered here.</t>
  </si>
  <si>
    <t>EXTERIOR WALLS</t>
  </si>
  <si>
    <t>Litres of exterior paint to buy</t>
  </si>
  <si>
    <t>Exterior paint cost (₹)</t>
  </si>
  <si>
    <t>Exterior painting labour (₹)</t>
  </si>
  <si>
    <t>FLAT ROOF (terrace)</t>
  </si>
  <si>
    <t>Roof waterproofing cost (₹)</t>
  </si>
  <si>
    <t>Exterior paint and roof total (₹)</t>
  </si>
  <si>
    <t>Enter the outside wall length and height. Openings are subtracted. Two coats is a common default. Check with your painter.</t>
  </si>
  <si>
    <t>Roof: flat roofs only. A sloped roof needs its own quote for sheets or tiles.</t>
  </si>
  <si>
    <t>The roof rate should cover both material and labour. Use your own quote.</t>
  </si>
  <si>
    <t>Not included: scaffolding, cleaning, crack repair, and external plaster.</t>
  </si>
  <si>
    <t>CONCRETE</t>
  </si>
  <si>
    <t>Enter the size of each concrete item. Mix quantities and cost are worked out for you.</t>
  </si>
  <si>
    <t>Slab</t>
  </si>
  <si>
    <t>Beam</t>
  </si>
  <si>
    <t>Column</t>
  </si>
  <si>
    <t>Footing</t>
  </si>
  <si>
    <t>TOTAL CONCRETE</t>
  </si>
  <si>
    <t>MIX RATIO (use the grade your engineer specifies)</t>
  </si>
  <si>
    <t>Cement parts</t>
  </si>
  <si>
    <t>1 : 2 : 4 is an example mix only. The grade and mix come from your engineer's specification, which always takes priority.</t>
  </si>
  <si>
    <t>Sand parts</t>
  </si>
  <si>
    <t>Aggregate parts</t>
  </si>
  <si>
    <t>Dry volume factor (wet to dry)</t>
  </si>
  <si>
    <t>Dry volume (cu ft)</t>
  </si>
  <si>
    <t>Total parts</t>
  </si>
  <si>
    <t>MATERIALS NEEDED (before extra wastage)</t>
  </si>
  <si>
    <t>Cement bags (50 kg)</t>
  </si>
  <si>
    <t>Sand (cu ft)</t>
  </si>
  <si>
    <t>Aggregate (cu ft)</t>
  </si>
  <si>
    <t>Cement</t>
  </si>
  <si>
    <t>Sand</t>
  </si>
  <si>
    <t>Aggregate</t>
  </si>
  <si>
    <t>Labour</t>
  </si>
  <si>
    <t>TOTAL CONCRETE COST</t>
  </si>
  <si>
    <t>BRICKS &amp; BLOCKS</t>
  </si>
  <si>
    <t>How many bricks or blocks each wall needs.</t>
  </si>
  <si>
    <t>Wall</t>
  </si>
  <si>
    <t>Net area (sq ft)</t>
  </si>
  <si>
    <t>Thickness (mm)</t>
  </si>
  <si>
    <t>External walls</t>
  </si>
  <si>
    <t>Internal walls</t>
  </si>
  <si>
    <t>Openings are linked: windows are taken off external walls, and doors off internal walls. Move any door in an outside wall by hand.</t>
  </si>
  <si>
    <t>ASSUMPTIONS (change only if your mason or supplier advises)</t>
  </si>
  <si>
    <t>Bricks per cu m of wall (approximate)</t>
  </si>
  <si>
    <t>Extra for breakage (%)</t>
  </si>
  <si>
    <t>AAC block length (mm)</t>
  </si>
  <si>
    <t>AAC block height (mm)</t>
  </si>
  <si>
    <t>AAC block thickness (mm)</t>
  </si>
  <si>
    <t>Red clay bricks needed (includes breakage)</t>
  </si>
  <si>
    <t>Brick cost (₹)</t>
  </si>
  <si>
    <t>AAC blocks needed (alternative to bricks)</t>
  </si>
  <si>
    <t>AAC block cost (₹)</t>
  </si>
  <si>
    <t>Masonry labour (₹)</t>
  </si>
  <si>
    <t>TOTAL MASONRY COST, brick option (₹)</t>
  </si>
  <si>
    <t>Tip: use bricks or AAC blocks, not both. Mortar is not included.</t>
  </si>
  <si>
    <t>PLASTER</t>
  </si>
  <si>
    <t>Cement and sand for plaster on walls and ceilings. Areas come from the Paint &amp; Tiles tab. Assumptions are marked for checking.</t>
  </si>
  <si>
    <t>AREA (from Paint &amp; Tiles)</t>
  </si>
  <si>
    <t>Wall area to plaster (sq ft)</t>
  </si>
  <si>
    <t>Ceiling area to plaster (sq ft)</t>
  </si>
  <si>
    <t>Total area to plaster (sq ft)</t>
  </si>
  <si>
    <t>ASSUMPTIONS (confirm with your mason or engineer)</t>
  </si>
  <si>
    <t>Plaster thickness (mm)</t>
  </si>
  <si>
    <t>Extra for wastage (%)</t>
  </si>
  <si>
    <t>Wet volume (cu ft)</t>
  </si>
  <si>
    <t>Dry volume incl. wastage (cu ft)</t>
  </si>
  <si>
    <t>TOTAL PLASTER MATERIAL COST</t>
  </si>
  <si>
    <t>Plaster labour (₹)</t>
  </si>
  <si>
    <t>Plaster labour is included at the rate on the Rates tab. Check the rate with your mason.</t>
  </si>
  <si>
    <t>Wastage is included once here. The Order List does not add more for plaster sand.</t>
  </si>
  <si>
    <t>Area is the interior wall area from Paint &amp; Tiles plus the floor area as ceilings. External wall faces are NOT included.</t>
  </si>
  <si>
    <t>STEEL</t>
  </si>
  <si>
    <t>Steel weight from bar size and number of bars. Bar length is always in metres.</t>
  </si>
  <si>
    <t>Bar diameter (mm)</t>
  </si>
  <si>
    <t>Length per bar (m)</t>
  </si>
  <si>
    <t>Number of bars</t>
  </si>
  <si>
    <t>Weight (kg)</t>
  </si>
  <si>
    <t>Weight (tonnes)</t>
  </si>
  <si>
    <t>Steel cost (₹)</t>
  </si>
  <si>
    <t>Tip: weight per metre = diameter² ÷ 162. Check bar lengths against your structural drawings.</t>
  </si>
  <si>
    <t>SERVICES</t>
  </si>
  <si>
    <t>Count the points and fittings, then enter a rate per point. Blank counts or rates show zero.</t>
  </si>
  <si>
    <t>Rate per item (₹, you enter)</t>
  </si>
  <si>
    <t>Cost (₹)</t>
  </si>
  <si>
    <t>Water point for WC</t>
  </si>
  <si>
    <t>Water point for wash basin</t>
  </si>
  <si>
    <t>Shower point</t>
  </si>
  <si>
    <t>Kitchen sink point</t>
  </si>
  <si>
    <t>Washing machine point</t>
  </si>
  <si>
    <t>Overhead tank connection</t>
  </si>
  <si>
    <t>Water heater point</t>
  </si>
  <si>
    <t>PLUMBING TOTAL</t>
  </si>
  <si>
    <t>Electrical points</t>
  </si>
  <si>
    <t>Light points</t>
  </si>
  <si>
    <t>Fan points</t>
  </si>
  <si>
    <t>6 A plug points</t>
  </si>
  <si>
    <t>16 A plug points</t>
  </si>
  <si>
    <t>AC points</t>
  </si>
  <si>
    <t>Geyser point</t>
  </si>
  <si>
    <t>TV or data points</t>
  </si>
  <si>
    <t>Distribution board</t>
  </si>
  <si>
    <t>ELECTRICAL TOTAL</t>
  </si>
  <si>
    <t>Pipes, wires and conduits are included in the rate per point if your rate covers them. Confirm with your plumber or electrician.</t>
  </si>
  <si>
    <t>COST ESTIMATE</t>
  </si>
  <si>
    <t>Full estimate. Calculator items fill in automatically. Enter the rest yourself and tag each line with a stage.</t>
  </si>
  <si>
    <t>Cost item</t>
  </si>
  <si>
    <t>Source</t>
  </si>
  <si>
    <t>Estimated (₹)</t>
  </si>
  <si>
    <t>Actual spent (₹)</t>
  </si>
  <si>
    <t>Difference (₹)</t>
  </si>
  <si>
    <t>% of estimate spent</t>
  </si>
  <si>
    <t>Status</t>
  </si>
  <si>
    <t>Stage</t>
  </si>
  <si>
    <t>Site preparation &amp; foundation (excavation, clearing)</t>
  </si>
  <si>
    <t>Auto</t>
  </si>
  <si>
    <t>Planned</t>
  </si>
  <si>
    <t>Site preparation &amp; foundation</t>
  </si>
  <si>
    <t>Concrete &amp; RCC</t>
  </si>
  <si>
    <t>Structure (concrete &amp; steel)</t>
  </si>
  <si>
    <t>Steel reinforcement</t>
  </si>
  <si>
    <t>Brickwork &amp; masonry labour</t>
  </si>
  <si>
    <t>Masonry (walls)</t>
  </si>
  <si>
    <t>Plaster (walls and ceilings, materials and labour)</t>
  </si>
  <si>
    <t>Floor tiles (materials and laying labour)</t>
  </si>
  <si>
    <t>Flooring</t>
  </si>
  <si>
    <t>Interior paint (materials and labour)</t>
  </si>
  <si>
    <t>Painting</t>
  </si>
  <si>
    <t>External paint (materials and labour)</t>
  </si>
  <si>
    <t>Doors</t>
  </si>
  <si>
    <t>Enter</t>
  </si>
  <si>
    <t>Doors, windows &amp; fittings</t>
  </si>
  <si>
    <t>Windows</t>
  </si>
  <si>
    <t>Plumbing fittings and pipes</t>
  </si>
  <si>
    <t>Plumbing &amp; electrical</t>
  </si>
  <si>
    <t>Electrical wiring and fittings</t>
  </si>
  <si>
    <t>Kitchen counter and cabinets</t>
  </si>
  <si>
    <t>Kitchen &amp; bathrooms</t>
  </si>
  <si>
    <t>Sanitaryware and taps</t>
  </si>
  <si>
    <t>Waterproofing (bathrooms, kitchen, wet areas)</t>
  </si>
  <si>
    <t>Roof waterproofing (flat roof)</t>
  </si>
  <si>
    <t>General labour (not in calculators)</t>
  </si>
  <si>
    <t>Approvals, fees &amp; other</t>
  </si>
  <si>
    <t>Transport and unloading</t>
  </si>
  <si>
    <t>Approvals and fees (total from Permits tab)</t>
  </si>
  <si>
    <t>Other</t>
  </si>
  <si>
    <t>SUBTOTAL (before contingency and GST)</t>
  </si>
  <si>
    <t>Contingency</t>
  </si>
  <si>
    <t>GST on works</t>
  </si>
  <si>
    <t>TOTAL ESTIMATE</t>
  </si>
  <si>
    <t>Target budget</t>
  </si>
  <si>
    <t>Headroom (positive = under budget)</t>
  </si>
  <si>
    <t>Cost per sq ft (₹)</t>
  </si>
  <si>
    <t>ROOM COSTS</t>
  </si>
  <si>
    <t>Paint and tile cost for each room. Structure, masonry, plumbing and electrical are not assigned to rooms.</t>
  </si>
  <si>
    <t>Paint and tiles (₹)</t>
  </si>
  <si>
    <t>Share of paint and tiles</t>
  </si>
  <si>
    <t>Room figures are unrounded estimates. Paint &amp; Tiles rounds up to whole litres and tiles, so the totals can differ slightly.</t>
  </si>
  <si>
    <t>STAGE BUDGET</t>
  </si>
  <si>
    <t>Costs grouped by build stage. Set a target share for each stage and see where you stand.</t>
  </si>
  <si>
    <t>Estimated (₹, before contingency &amp; GST)</t>
  </si>
  <si>
    <t>Share of estimate</t>
  </si>
  <si>
    <t>Target share (%)</t>
  </si>
  <si>
    <t>Target (₹)</t>
  </si>
  <si>
    <t>Room left (₹)  (+ within target)</t>
  </si>
  <si>
    <t>Target shares should add up to 100%. The shares shown are examples only. Set your own to match your plan.</t>
  </si>
  <si>
    <t>STAGE CHECKLIST</t>
  </si>
  <si>
    <t>Checks to do before moving to the next stage. These are general points. Your engineer or site supervisor decides the actual requirements.</t>
  </si>
  <si>
    <t>Check before moving on</t>
  </si>
  <si>
    <t>Done?</t>
  </si>
  <si>
    <t>Date checked</t>
  </si>
  <si>
    <t>Who checked</t>
  </si>
  <si>
    <t>Soil test report received</t>
  </si>
  <si>
    <t>Layout marked and checked against the approved plan</t>
  </si>
  <si>
    <t>Foundation depth and width inspected before concrete is poured</t>
  </si>
  <si>
    <t>Steel bar size, spacing and cover match the drawings before concrete</t>
  </si>
  <si>
    <t>Concrete grade as specified; test cubes taken</t>
  </si>
  <si>
    <t>Formwork checked for level and alignment</t>
  </si>
  <si>
    <t>Curing started and recorded</t>
  </si>
  <si>
    <t>Walls checked for alignment and vertical level</t>
  </si>
  <si>
    <t>Mortar mix as specified</t>
  </si>
  <si>
    <t>Lintels or bands in place above openings</t>
  </si>
  <si>
    <t>Floor surface level and dry</t>
  </si>
  <si>
    <t>Tile layout planned before fixing</t>
  </si>
  <si>
    <t>Tiles from the same batch</t>
  </si>
  <si>
    <t>Joints checked after fixing</t>
  </si>
  <si>
    <t>Walls fully dry and plastered</t>
  </si>
  <si>
    <t>Primer applied</t>
  </si>
  <si>
    <t>Number of coats as specified</t>
  </si>
  <si>
    <t>Paint batch numbers recorded</t>
  </si>
  <si>
    <t>Frames fixed plumb and level</t>
  </si>
  <si>
    <t>Hardware and glass match the order</t>
  </si>
  <si>
    <t>Gaps around frames sealed</t>
  </si>
  <si>
    <t>Water lines pressure-tested</t>
  </si>
  <si>
    <t>Electrical circuits and earthing tested</t>
  </si>
  <si>
    <t>Concealed work photographed before walls are closed</t>
  </si>
  <si>
    <t>Waterproofing tested (ponding test) before tiling</t>
  </si>
  <si>
    <t>Fittings match the order</t>
  </si>
  <si>
    <t>Drainage tested to flow freely</t>
  </si>
  <si>
    <t>Building approval in hand before work starts</t>
  </si>
  <si>
    <t>Completion certificate requested</t>
  </si>
  <si>
    <t>Final payment made only after final inspection</t>
  </si>
  <si>
    <t>Keep photos and signed records of each check. They show what was checked and when.</t>
  </si>
  <si>
    <t>ORDER LIST</t>
  </si>
  <si>
    <t>What to buy, how much, from whom, and by when. Quantities come from the calculators.</t>
  </si>
  <si>
    <t>Material</t>
  </si>
  <si>
    <t>Unit</t>
  </si>
  <si>
    <t>Calculated quantity</t>
  </si>
  <si>
    <t>Order quantity</t>
  </si>
  <si>
    <t>Unit rate (₹)</t>
  </si>
  <si>
    <t>Line cost (₹)</t>
  </si>
  <si>
    <t>Supplier</t>
  </si>
  <si>
    <t>Order by</t>
  </si>
  <si>
    <t>Ordered?</t>
  </si>
  <si>
    <t>Received?</t>
  </si>
  <si>
    <t>Cement (50 kg bag)</t>
  </si>
  <si>
    <t>bags</t>
  </si>
  <si>
    <t>M-sand</t>
  </si>
  <si>
    <t>cu ft</t>
  </si>
  <si>
    <t>20 mm aggregate</t>
  </si>
  <si>
    <t>TMT steel 8 mm</t>
  </si>
  <si>
    <t>kg</t>
  </si>
  <si>
    <t>TMT steel 10 mm</t>
  </si>
  <si>
    <t>TMT steel 12 mm</t>
  </si>
  <si>
    <t>TMT steel 16 mm</t>
  </si>
  <si>
    <t>TMT steel 20 mm</t>
  </si>
  <si>
    <t>Red clay bricks</t>
  </si>
  <si>
    <t>pieces</t>
  </si>
  <si>
    <t>Floor tiles</t>
  </si>
  <si>
    <t>tiles</t>
  </si>
  <si>
    <t>Interior paint</t>
  </si>
  <si>
    <t>litres</t>
  </si>
  <si>
    <t>Cement (plaster)</t>
  </si>
  <si>
    <t>M-sand (plaster)</t>
  </si>
  <si>
    <t>TOTAL MATERIAL COST</t>
  </si>
  <si>
    <t>Wastage starts at the defaults shown. Change them to match your supplier's advice.</t>
  </si>
  <si>
    <t>Bricks and tiles already include their breakage allowance, so no extra wastage is added here.</t>
  </si>
  <si>
    <t>Use the spare rows for paint primer, sanitary items or anything else you buy. Enter the quantity and rate by hand.</t>
  </si>
  <si>
    <t>This list covers materials only. Labour, transport and fittings are on the Cost Estimate tab.</t>
  </si>
  <si>
    <t>TASK TRACKER</t>
  </si>
  <si>
    <t>Every job on the build, who does it, and when it is due. Overdue tasks turn red.</t>
  </si>
  <si>
    <t>Task</t>
  </si>
  <si>
    <t>Room / area</t>
  </si>
  <si>
    <t>Assigned to</t>
  </si>
  <si>
    <t>Due date</t>
  </si>
  <si>
    <t>Priority</t>
  </si>
  <si>
    <t>Days left</t>
  </si>
  <si>
    <t>STATUS SUMMARY</t>
  </si>
  <si>
    <t>Get building approval</t>
  </si>
  <si>
    <t>General</t>
  </si>
  <si>
    <t>Owner</t>
  </si>
  <si>
    <t>High</t>
  </si>
  <si>
    <t>Not started</t>
  </si>
  <si>
    <t>Soil test</t>
  </si>
  <si>
    <t>Soil tester</t>
  </si>
  <si>
    <t>In progress</t>
  </si>
  <si>
    <t>Mark layout on site</t>
  </si>
  <si>
    <t>Engineer / mason</t>
  </si>
  <si>
    <t>Done</t>
  </si>
  <si>
    <t>Order cement and steel</t>
  </si>
  <si>
    <t>On hold</t>
  </si>
  <si>
    <t>Steel bar check before concrete</t>
  </si>
  <si>
    <t>Engineer</t>
  </si>
  <si>
    <t>Overdue (not Done)</t>
  </si>
  <si>
    <t>Brickwork to lintel level</t>
  </si>
  <si>
    <t>Mason</t>
  </si>
  <si>
    <t>Medium</t>
  </si>
  <si>
    <t>Plumbing lines in walls</t>
  </si>
  <si>
    <t>Bathrooms</t>
  </si>
  <si>
    <t>Plumber</t>
  </si>
  <si>
    <t>Electrical conduits in walls</t>
  </si>
  <si>
    <t>Electrician</t>
  </si>
  <si>
    <t>Waterproofing test</t>
  </si>
  <si>
    <t>Waterproofing contractor</t>
  </si>
  <si>
    <t>Order floor tiles</t>
  </si>
  <si>
    <t>Paint primer coat</t>
  </si>
  <si>
    <t>Painter</t>
  </si>
  <si>
    <t>Low</t>
  </si>
  <si>
    <t>Final inspection</t>
  </si>
  <si>
    <t>Overdue = due date has passed and the task is not Done. Days left is counted from today.</t>
  </si>
  <si>
    <t>Pre-filled tasks are examples. Change or delete them to suit your build.</t>
  </si>
  <si>
    <t>PERMITS &amp; APPROVALS</t>
  </si>
  <si>
    <t>Track each approval your build needs. Which ones apply depends on your city and project. Check with your local authority.</t>
  </si>
  <si>
    <t>Approval / permit</t>
  </si>
  <si>
    <t>Who issues it</t>
  </si>
  <si>
    <t>Needed for your project?</t>
  </si>
  <si>
    <t>Applied on</t>
  </si>
  <si>
    <t>Approved on</t>
  </si>
  <si>
    <t>Reference number</t>
  </si>
  <si>
    <t>Fee (₹)</t>
  </si>
  <si>
    <t>Building plan approval</t>
  </si>
  <si>
    <t>Local development / planning authority</t>
  </si>
  <si>
    <t>Check</t>
  </si>
  <si>
    <t>Not applied</t>
  </si>
  <si>
    <t>Building permit or commencement certificate</t>
  </si>
  <si>
    <t>Structural engineer's certificate</t>
  </si>
  <si>
    <t>Licensed structural engineer</t>
  </si>
  <si>
    <t>Soil test report</t>
  </si>
  <si>
    <t>Accredited soil testing lab</t>
  </si>
  <si>
    <t>Water connection</t>
  </si>
  <si>
    <t>Local water supply authority</t>
  </si>
  <si>
    <t>Sewer connection</t>
  </si>
  <si>
    <t>Local sewerage authority</t>
  </si>
  <si>
    <t>Temporary electricity connection</t>
  </si>
  <si>
    <t>Electricity distribution company</t>
  </si>
  <si>
    <t>Permanent electricity connection</t>
  </si>
  <si>
    <t>Occupancy / completion certificate</t>
  </si>
  <si>
    <t>Property tax registration</t>
  </si>
  <si>
    <t>Local municipal body</t>
  </si>
  <si>
    <t>TOTAL FEES AND APPROVAL COSTS</t>
  </si>
  <si>
    <t>Check with your engineer and local authority which approvals must come before work starts. Local rules decide the order.</t>
  </si>
  <si>
    <t>These are the usual approvals, not a legal list. Your local authority decides what applies to your plot.</t>
  </si>
  <si>
    <t>RATES</t>
  </si>
  <si>
    <t>Type in your local rates. Blank rates show zero cost until you enter them.</t>
  </si>
  <si>
    <t>Your rate (₹)</t>
  </si>
  <si>
    <t>Supplier / source</t>
  </si>
  <si>
    <t>Date updated</t>
  </si>
  <si>
    <t>per 50 kg bag</t>
  </si>
  <si>
    <t>per cu ft</t>
  </si>
  <si>
    <t>Red clay brick</t>
  </si>
  <si>
    <t>per piece</t>
  </si>
  <si>
    <t>AAC block</t>
  </si>
  <si>
    <t>TMT steel</t>
  </si>
  <si>
    <t>per kg</t>
  </si>
  <si>
    <t>per litre</t>
  </si>
  <si>
    <t>Floor tile</t>
  </si>
  <si>
    <t>per sq ft</t>
  </si>
  <si>
    <t>Concrete labour</t>
  </si>
  <si>
    <t>Masonry labour</t>
  </si>
  <si>
    <t>Excavation</t>
  </si>
  <si>
    <t>Exterior paint</t>
  </si>
  <si>
    <t>Roof waterproofing, material and labour</t>
  </si>
  <si>
    <t>per sq ft of roof</t>
  </si>
  <si>
    <t>Plaster labour</t>
  </si>
  <si>
    <t>per sq ft of plaster</t>
  </si>
  <si>
    <t>Painting labour</t>
  </si>
  <si>
    <t>per sq ft of wall</t>
  </si>
  <si>
    <t>Tile laying labour</t>
  </si>
  <si>
    <t>per sq ft of floor</t>
  </si>
  <si>
    <t>Tip: get quotes from at least two suppliers. The Rate Library can store them.</t>
  </si>
  <si>
    <t>RATE QUOTES</t>
  </si>
  <si>
    <t>Compare two supplier quotes for each item. Only compare quotes that cover the same delivery and loading terms.</t>
  </si>
  <si>
    <t>Unit (as on Rates tab)</t>
  </si>
  <si>
    <t>Supplier A</t>
  </si>
  <si>
    <t>Rate A (₹)</t>
  </si>
  <si>
    <t>A includes delivery and loading? (Yes/No)</t>
  </si>
  <si>
    <t>Supplier B</t>
  </si>
  <si>
    <t>Rate B (₹)</t>
  </si>
  <si>
    <t>B includes delivery and loading? (Yes/No)</t>
  </si>
  <si>
    <t>Lower rate, same terms (₹)</t>
  </si>
  <si>
    <t>Copy the lower rate from column I to the Rates tab, and record the supplier and date there.</t>
  </si>
  <si>
    <t>ASSUMPTIONS</t>
  </si>
  <si>
    <t>Every factor the calculations use. Change the value on the tab shown. Source status must be confirmed before you rely on a figure.</t>
  </si>
  <si>
    <t>Factor</t>
  </si>
  <si>
    <t>Current value</t>
  </si>
  <si>
    <t>Where to change it</t>
  </si>
  <si>
    <t>Source status</t>
  </si>
  <si>
    <t>Verified value (engineer fills)</t>
  </si>
  <si>
    <t>Verified by</t>
  </si>
  <si>
    <t>Source reference</t>
  </si>
  <si>
    <t>Date verified</t>
  </si>
  <si>
    <t>%</t>
  </si>
  <si>
    <t>Your choice. Set by you.</t>
  </si>
  <si>
    <t>NOT VERIFIED. Confirm the rate for your contract with your accountant.</t>
  </si>
  <si>
    <t>Dry volume factor (wet to dry concrete)</t>
  </si>
  <si>
    <t>x</t>
  </si>
  <si>
    <t>Common practice. Not sourced. Engineer to confirm.</t>
  </si>
  <si>
    <t>Cement parts (mix)</t>
  </si>
  <si>
    <t>parts</t>
  </si>
  <si>
    <t>Example mix only. Use your engineer's grade and mix.</t>
  </si>
  <si>
    <t>Sand parts (mix)</t>
  </si>
  <si>
    <t>Aggregate parts (mix)</t>
  </si>
  <si>
    <t>Cement bag volume (1.25 cu ft per 50 kg bag)</t>
  </si>
  <si>
    <t>This tab (row 11)</t>
  </si>
  <si>
    <t>Practice. Not sourced. Supplier to confirm.</t>
  </si>
  <si>
    <t>Bricks per cu m of wall</t>
  </si>
  <si>
    <t>Approximation. Not sourced. Mason to confirm.</t>
  </si>
  <si>
    <t>Brick breakage allowance</t>
  </si>
  <si>
    <t>Practice. Not sourced.</t>
  </si>
  <si>
    <t>Paint coverage</t>
  </si>
  <si>
    <t>sq ft per litre</t>
  </si>
  <si>
    <t>Assumption. Check the coverage on the paint label.</t>
  </si>
  <si>
    <t>Paint waste allowance</t>
  </si>
  <si>
    <t>coats</t>
  </si>
  <si>
    <t>Your choice. Check with the painter.</t>
  </si>
  <si>
    <t>Standard door size (width)</t>
  </si>
  <si>
    <t>units</t>
  </si>
  <si>
    <t>Assumption. Measure your doors.</t>
  </si>
  <si>
    <t>Standard window size (width)</t>
  </si>
  <si>
    <t>Assumption. Measure your windows.</t>
  </si>
  <si>
    <t>Tile size (length)</t>
  </si>
  <si>
    <t>mm</t>
  </si>
  <si>
    <t>Assumption. Use your tile's size.</t>
  </si>
  <si>
    <t>Tile cutting and breakage allowance</t>
  </si>
  <si>
    <t>Steel weight constant (diameter² ÷ 162)</t>
  </si>
  <si>
    <t>kg per m</t>
  </si>
  <si>
    <t>This tab (row 21)</t>
  </si>
  <si>
    <t>Unit-weight formula for TMT bars. Engineer to confirm against IS 1786.</t>
  </si>
  <si>
    <t>Plaster thickness</t>
  </si>
  <si>
    <t>Plaster mix (cement : sand)</t>
  </si>
  <si>
    <t>Plaster dry volume factor</t>
  </si>
  <si>
    <t>Plaster waste allowance</t>
  </si>
  <si>
    <t>Excavation over-digging allowance</t>
  </si>
  <si>
    <t>Wastage on sand (Order List)</t>
  </si>
  <si>
    <t>Wastage on aggregate and steel (Order List)</t>
  </si>
  <si>
    <t>Bill check tolerance</t>
  </si>
  <si>
    <t>Your choice.</t>
  </si>
  <si>
    <t>Quotation valid for</t>
  </si>
  <si>
    <t>days</t>
  </si>
  <si>
    <t>Your choice. Check local practice.</t>
  </si>
  <si>
    <t>Stage target shares</t>
  </si>
  <si>
    <t>Stage Budget column D</t>
  </si>
  <si>
    <t>Examples only. Set your own.</t>
  </si>
  <si>
    <t>Conversion factors (ft to m, sq ft to sq m, cu ft to cu m, mm to ft)</t>
  </si>
  <si>
    <t>3.28084 / 10.7639 / 35.3147 / 304.8</t>
  </si>
  <si>
    <t>-</t>
  </si>
  <si>
    <t>Fixed in formula</t>
  </si>
  <si>
    <t>Exact unit conversions.</t>
  </si>
  <si>
    <t>Nothing on this tab is a source. Each line says whether it has been checked. Until it is, treat the figure as an estimate.</t>
  </si>
  <si>
    <t>Engineer or quantity surveyor: fill columns F to I for each factor you confirm. Leave blank any factor you cannot confirm.</t>
  </si>
  <si>
    <t>TERMS &amp; DISCLAIMER</t>
  </si>
  <si>
    <t>Read before relying on any figure in this file.</t>
  </si>
  <si>
    <t>What this file is</t>
  </si>
  <si>
    <t>A planning tool. It calculates quantities and costs from the measurements, rates and assumptions you enter.</t>
  </si>
  <si>
    <t>What this file is not</t>
  </si>
  <si>
    <t>It is not a structural design. It does not check loads, safety or building bylaws. It does not replace a structural engineer, architect, quantity surveyor or licensed contractor.</t>
  </si>
  <si>
    <t>Estimates only</t>
  </si>
  <si>
    <t>Results depend on your measurements, your rates and the assumptions on the Assumptions tab. Rates are blank or placeholders until you enter your own.</t>
  </si>
  <si>
    <t>Sample figures</t>
  </si>
  <si>
    <t>The EXAMPLE file's rates and quantities are placeholders. Do not use them as market prices or as a benchmark for cost per sq ft.</t>
  </si>
  <si>
    <t>Not professional advice</t>
  </si>
  <si>
    <t>This is not legal, tax, financial or building advice. Confirm GST, approvals and contract terms with your accountant, lawyer and local authority.</t>
  </si>
  <si>
    <t>Testing</t>
  </si>
  <si>
    <t>The formulas were checked in LibreOffice. They have not yet been checked in Microsoft Excel or Google Sheets. Check the figures yourself before you buy or pay.</t>
  </si>
  <si>
    <t>Your responsibility</t>
  </si>
  <si>
    <t>You decide what to buy, pay for, and build. Check every quantity and rate before you act on it.</t>
  </si>
  <si>
    <t>TO COMPLETE BEFORE SALE</t>
  </si>
  <si>
    <t>[Support contact]. [Update policy]. [Refund policy]. [Licence to use]. [Seller name and address]. These are not written yet.</t>
  </si>
  <si>
    <t>DASHBOARD</t>
  </si>
  <si>
    <t>Your project at a glance. Everything here updates as you change the other tabs.</t>
  </si>
  <si>
    <t>PROJECT</t>
  </si>
  <si>
    <t>Project</t>
  </si>
  <si>
    <t>Location</t>
  </si>
  <si>
    <t>MONEY</t>
  </si>
  <si>
    <t>Estimated total (₹)</t>
  </si>
  <si>
    <t>Headroom vs target (₹)</t>
  </si>
  <si>
    <t>Spent so far (% of estimate)</t>
  </si>
  <si>
    <t>MATERIALS</t>
  </si>
  <si>
    <t>Paint to buy (litres)</t>
  </si>
  <si>
    <t>Floor tiles to buy</t>
  </si>
  <si>
    <t>Bricks needed</t>
  </si>
  <si>
    <t>Steel (tonnes)</t>
  </si>
  <si>
    <t>Concrete (cu ft)</t>
  </si>
  <si>
    <t>Material cost from Order List (₹)</t>
  </si>
  <si>
    <t>Actual-spend bars stay empty until you enter actual spend on the Cost Estimate tab.</t>
  </si>
  <si>
    <t>BILL CHECK</t>
  </si>
  <si>
    <t>Compare the quantities a contractor claims with the quantities this file calculates.</t>
  </si>
  <si>
    <t>Allowed difference before flagging (%)</t>
  </si>
  <si>
    <t>Our calculation</t>
  </si>
  <si>
    <t>Contractor's claim</t>
  </si>
  <si>
    <t>Difference</t>
  </si>
  <si>
    <t>Difference %</t>
  </si>
  <si>
    <t>Result</t>
  </si>
  <si>
    <t>Room area</t>
  </si>
  <si>
    <t>sq ft</t>
  </si>
  <si>
    <t>Concrete volume</t>
  </si>
  <si>
    <t>Brickwork net area</t>
  </si>
  <si>
    <t>Paint (litres)</t>
  </si>
  <si>
    <t>Bricks</t>
  </si>
  <si>
    <t>Cement bags</t>
  </si>
  <si>
    <t>A higher claim is not always wrong. Check first whether the contractor included wastage, a different unit or a different room.</t>
  </si>
  <si>
    <t>Compare like with like: the same units, the same rooms, and the same wastage allowance.</t>
  </si>
  <si>
    <t>PROJECTS</t>
  </si>
  <si>
    <t>Track up to five projects in one file. Enter each project's totals here.</t>
  </si>
  <si>
    <t>Budget (₹)</t>
  </si>
  <si>
    <t>Estimate (₹)</t>
  </si>
  <si>
    <t>Spent so far (₹)</t>
  </si>
  <si>
    <t>% spent</t>
  </si>
  <si>
    <t>BIDS</t>
  </si>
  <si>
    <t>Compare up to three contractor quotes for each job. The lowest bid is picked automatically.</t>
  </si>
  <si>
    <t>Job</t>
  </si>
  <si>
    <t>Contractor 1</t>
  </si>
  <si>
    <t>Bid 1 (₹)</t>
  </si>
  <si>
    <t>Contractor 2</t>
  </si>
  <si>
    <t>Bid 2 (₹)</t>
  </si>
  <si>
    <t>Contractor 3</t>
  </si>
  <si>
    <t>Bid 3 (₹)</t>
  </si>
  <si>
    <t>Lowest bid (₹)</t>
  </si>
  <si>
    <t>Lowest bidder</t>
  </si>
  <si>
    <t>Saving vs highest bid (₹)</t>
  </si>
  <si>
    <t>Civil work</t>
  </si>
  <si>
    <t>Electrical</t>
  </si>
  <si>
    <t>Plumbing</t>
  </si>
  <si>
    <t>Tiling</t>
  </si>
  <si>
    <t>Carpentry</t>
  </si>
  <si>
    <t>Add the same job from each contractor on one row. Blank bids are ignored.</t>
  </si>
  <si>
    <t>PAYMENTS</t>
  </si>
  <si>
    <t>Record what you've paid and any changes to the contract. See the balance still to pay.</t>
  </si>
  <si>
    <t>PAYMENTS MADE</t>
  </si>
  <si>
    <t>SUMMARY</t>
  </si>
  <si>
    <t>Date</t>
  </si>
  <si>
    <t>Paid to</t>
  </si>
  <si>
    <t>What for</t>
  </si>
  <si>
    <t>Amount (₹)</t>
  </si>
  <si>
    <t>Payment type</t>
  </si>
  <si>
    <t>Approved changes (₹)</t>
  </si>
  <si>
    <t>Revised forecast (₹)</t>
  </si>
  <si>
    <t>Total paid (₹)</t>
  </si>
  <si>
    <t>Balance still to pay (₹)</t>
  </si>
  <si>
    <t>Deposits paid (₹)</t>
  </si>
  <si>
    <t>Changes paid from contingency? (Yes/No)</t>
  </si>
  <si>
    <t>No</t>
  </si>
  <si>
    <t>TOTAL PAID</t>
  </si>
  <si>
    <t>CHANGE ORDERS (extra work or savings agreed after the contract)</t>
  </si>
  <si>
    <t>Description</t>
  </si>
  <si>
    <t>Amount (₹)  (+ extra / - saving)</t>
  </si>
  <si>
    <t>Approved?</t>
  </si>
  <si>
    <t>APPROVED CHANGES</t>
  </si>
  <si>
    <t>TIMELINE</t>
  </si>
  <si>
    <t>Plan your stages, track progress and see how many days are left. Dates start from the Setup start date.</t>
  </si>
  <si>
    <t>Phase / task</t>
  </si>
  <si>
    <t>End date</t>
  </si>
  <si>
    <t>Days</t>
  </si>
  <si>
    <t>Progress (%)</t>
  </si>
  <si>
    <t>Design &amp; approvals</t>
  </si>
  <si>
    <t>Site preparation</t>
  </si>
  <si>
    <t>Foundation</t>
  </si>
  <si>
    <t>Structure (columns &amp; beams)</t>
  </si>
  <si>
    <t>Brickwork</t>
  </si>
  <si>
    <t>Plastering</t>
  </si>
  <si>
    <t>Fixtures &amp; finishing</t>
  </si>
  <si>
    <t>Handover</t>
  </si>
  <si>
    <t>Dates are formulas from the Setup start date. Type over them to set your own dates.</t>
  </si>
  <si>
    <t>Durations and task names are placeholders. Adjust them to your build before you rely on the dates.</t>
  </si>
  <si>
    <t>QUOTATION</t>
  </si>
  <si>
    <t>Print-ready estimate for your client. Fill in your details and print or save as PDF.</t>
  </si>
  <si>
    <t>From (your company)</t>
  </si>
  <si>
    <t>Your company name</t>
  </si>
  <si>
    <t>To (client)</t>
  </si>
  <si>
    <t>No.</t>
  </si>
  <si>
    <t>Subtotal</t>
  </si>
  <si>
    <t>GST</t>
  </si>
  <si>
    <t>Terms</t>
  </si>
  <si>
    <t>Quotation valid for (days)</t>
  </si>
  <si>
    <t>Quantities are estimates. Final billing is based on measured work. Confirm the GST rate before sending. The file default of 0% is a placeholder.</t>
  </si>
  <si>
    <t>RATE LIBRARY</t>
  </si>
  <si>
    <t>Keep rates from different suppliers and cities. Copy the chosen rate to the Rates tab.</t>
  </si>
  <si>
    <t>Rate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</si>
</sst>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gt;=10000000]&quot;₹&quot;##\,##\,##\,##0;[&gt;=100000]&quot;₹&quot;##\,##\,##0;&quot;₹&quot;##,##0"/>
    <numFmt numFmtId="167" formatCode="dd\-mmm\-yyyy"/>
    <numFmt numFmtId="168" formatCode="0.00000"/>
    <numFmt numFmtId="169" formatCode="0.0000"/>
    <numFmt numFmtId="170" formatCode="0.000"/>
  </numFmts>
  <fonts count="7">
    <font>
      <sz val="11"/>
      <color theme="1"/>
      <name val="Calibri"/>
      <family val="2"/>
      <scheme val="minor"/>
    </font>
    <font>
      <b/>
      <sz val="15"/>
      <color rgb="FF2F5D50"/>
      <name val="Calibri"/>
    </font>
    <font>
      <i/>
      <sz val="11"/>
      <color rgb="FF666666"/>
      <name val="Calibri"/>
    </font>
    <font>
      <b/>
      <sz val="11"/>
      <color rgb="FF2F5D50"/>
      <name val="Calibri"/>
    </font>
    <font>
      <b/>
      <sz val="11"/>
      <color rgb="FFFFFFFF"/>
      <name val="Calibri"/>
    </font>
    <font>
      <sz val="11"/>
      <name val="Calibri"/>
    </font>
    <font>
      <b/>
      <sz val="11"/>
      <name val="Calibri"/>
    </font>
  </fonts>
  <fills count="8">
    <fill>
      <patternFill patternType="none"/>
    </fill>
    <fill>
      <patternFill patternType="gray125"/>
    </fill>
    <fill>
      <patternFill patternType="solid">
        <fgColor rgb="FFD9EAE4"/>
      </patternFill>
    </fill>
    <fill>
      <patternFill patternType="solid">
        <fgColor rgb="FF2F5D50"/>
      </patternFill>
    </fill>
    <fill>
      <patternFill patternType="solid">
        <fgColor rgb="FFE2F0D9"/>
      </patternFill>
    </fill>
    <fill>
      <patternFill patternType="solid">
        <fgColor rgb="FFFFF4CC"/>
      </patternFill>
    </fill>
    <fill>
      <patternFill patternType="solid">
        <fgColor rgb="FFC6EFCE"/>
      </patternFill>
    </fill>
    <fill>
      <patternFill patternType="solid">
        <fgColor rgb="FFF8CBAD"/>
      </patternFill>
    </fill>
  </fills>
  <borders count="3">
    <border>
      <left/>
      <right/>
      <top/>
      <bottom/>
      <diagonal/>
    </border>
    <border>
      <left style="thin">
        <color rgb="FFC9D6D1"/>
      </left>
      <right style="thin">
        <color rgb="FFC9D6D1"/>
      </right>
      <top style="thin">
        <color rgb="FFC9D6D1"/>
      </top>
      <bottom style="thin">
        <color rgb="FFC9D6D1"/>
      </bottom>
      <diagonal/>
    </border>
    <border>
      <left/>
      <right style="thin">
        <color rgb="FFC9D6D1"/>
      </right>
      <top style="thin">
        <color rgb="FFC9D6D1"/>
      </top>
      <bottom style="thin">
        <color rgb="FFC9D6D1"/>
      </bottom>
      <diagonal/>
    </border>
  </borders>
  <cellStyleXfs count="1">
    <xf numFmtId="0" fontId="0" fillId="0" borderId="0"/>
  </cellStyleXfs>
  <cellXfs count="40">
    <xf numFmtId="0" fontId="0" fillId="0" borderId="0" xfId="0"/>
    <xf numFmtId="0" fontId="1" fillId="0" borderId="0" xfId="0" applyFont="1"/>
    <xf numFmtId="0" fontId="2" fillId="0" borderId="0" xfId="0" applyFont="1"/>
    <xf numFmtId="0" fontId="3" fillId="2" borderId="0" xfId="0" applyFont="1" applyFill="1"/>
    <xf numFmtId="0" fontId="0" fillId="2" borderId="0" xfId="0" applyFill="1"/>
    <xf numFmtId="0" fontId="4" fillId="3" borderId="1" xfId="0" applyFont="1" applyFill="1" applyBorder="1" applyAlignment="1">
      <alignment horizontal="center" vertical="center" wrapText="1"/>
    </xf>
    <xf numFmtId="0" fontId="0" fillId="4" borderId="1" xfId="0" applyFill="1" applyBorder="1"/>
    <xf numFmtId="0" fontId="0" fillId="4" borderId="1" xfId="0" applyFill="1" applyBorder="1" applyAlignment="1">
      <alignment vertical="center" wrapText="1"/>
    </xf>
    <xf numFmtId="0" fontId="5" fillId="0" borderId="0" xfId="0" applyFont="1" applyAlignment="1">
      <alignment vertical="center" wrapText="1"/>
    </xf>
    <xf numFmtId="0" fontId="6" fillId="0" borderId="0" xfId="0" applyFont="1" applyAlignment="1">
      <alignment vertical="center"/>
    </xf>
    <xf numFmtId="0" fontId="0" fillId="5" borderId="1" xfId="0" applyFill="1" applyBorder="1" applyProtection="1">
      <protection locked="0"/>
    </xf>
    <xf numFmtId="164" fontId="0" fillId="5" borderId="1" xfId="0" applyNumberFormat="1" applyFill="1" applyBorder="1" applyProtection="1">
      <protection locked="0"/>
    </xf>
    <xf numFmtId="165" fontId="0" fillId="5" borderId="1" xfId="0" applyNumberFormat="1" applyFill="1" applyBorder="1" applyProtection="1">
      <protection locked="0"/>
    </xf>
    <xf numFmtId="0" fontId="5" fillId="0" borderId="0" xfId="0" applyFont="1" applyAlignment="1">
      <alignment vertical="center"/>
    </xf>
    <xf numFmtId="0" fontId="0" fillId="4" borderId="1" xfId="0" applyFill="1" applyBorder="1" applyProtection="1">
      <protection locked="0"/>
    </xf>
    <xf numFmtId="164" fontId="0" fillId="4" borderId="1" xfId="0" applyNumberFormat="1" applyFill="1" applyBorder="1" applyProtection="1">
      <protection locked="0"/>
    </xf>
    <xf numFmtId="165" fontId="0" fillId="4" borderId="1" xfId="0" applyNumberFormat="1" applyFill="1" applyBorder="1" applyProtection="1">
      <protection locked="0"/>
    </xf>
    <xf numFmtId="9" fontId="0" fillId="5" borderId="1" xfId="0" applyNumberFormat="1" applyFill="1" applyBorder="1" applyProtection="1">
      <protection locked="0"/>
    </xf>
    <xf numFmtId="167" fontId="0" fillId="5" borderId="1" xfId="0" applyNumberFormat="1" applyFill="1" applyBorder="1" applyProtection="1">
      <protection locked="0"/>
    </xf>
    <xf numFmtId="168" fontId="0" fillId="4" borderId="1" xfId="0" applyNumberFormat="1" applyFill="1" applyBorder="1"/>
    <xf numFmtId="169" fontId="0" fillId="4" borderId="1" xfId="0" applyNumberFormat="1" applyFill="1" applyBorder="1"/>
    <xf numFmtId="3" fontId="0" fillId="4" borderId="1" xfId="0" applyNumberFormat="1" applyFill="1" applyBorder="1"/>
    <xf numFmtId="3" fontId="0" fillId="5" borderId="1" xfId="0" applyNumberFormat="1" applyFill="1" applyBorder="1" applyProtection="1">
      <protection locked="0"/>
    </xf>
    <xf numFmtId="164" fontId="0" fillId="4" borderId="1" xfId="0" applyNumberFormat="1" applyFill="1" applyBorder="1"/>
    <xf numFmtId="165" fontId="0" fillId="4" borderId="1" xfId="0" applyNumberFormat="1" applyFill="1" applyBorder="1"/>
    <xf numFmtId="9" fontId="0" fillId="4" borderId="1" xfId="0" applyNumberFormat="1" applyFill="1" applyBorder="1"/>
    <xf numFmtId="2" fontId="0" fillId="5" borderId="1" xfId="0" applyNumberFormat="1" applyFill="1" applyBorder="1" applyProtection="1">
      <protection locked="0"/>
    </xf>
    <xf numFmtId="2" fontId="0" fillId="4" borderId="1" xfId="0" applyNumberFormat="1" applyFill="1" applyBorder="1"/>
    <xf numFmtId="170" fontId="0" fillId="4" borderId="1" xfId="0" applyNumberFormat="1" applyFill="1" applyBorder="1"/>
    <xf numFmtId="3" fontId="0" fillId="4" borderId="1" xfId="0" applyNumberFormat="1" applyFill="1" applyBorder="1" applyProtection="1">
      <protection locked="0"/>
    </xf>
    <xf numFmtId="0" fontId="6" fillId="0" borderId="0" xfId="0" applyFont="1" applyAlignment="1">
      <alignment vertical="center" wrapText="1"/>
    </xf>
    <xf numFmtId="0" fontId="5" fillId="7" borderId="0" xfId="0" applyFont="1" applyFill="1" applyAlignment="1">
      <alignment vertical="center" wrapText="1"/>
    </xf>
    <xf numFmtId="1" fontId="0" fillId="5" borderId="1" xfId="0" applyNumberFormat="1" applyFill="1" applyBorder="1" applyProtection="1">
      <protection locked="0"/>
    </xf>
    <xf numFmtId="0" fontId="6" fillId="7" borderId="0" xfId="0" applyFont="1" applyFill="1" applyAlignment="1">
      <alignment vertical="center" wrapText="1"/>
    </xf>
    <xf numFmtId="0" fontId="5" fillId="0" borderId="0" xfId="0" applyFont="1" applyAlignment="1">
      <alignment vertical="center" wrapText="1"/>
    </xf>
    <xf numFmtId="0" fontId="0" fillId="0" borderId="0" xfId="0"/>
    <xf numFmtId="0" fontId="6" fillId="6" borderId="0" xfId="0" applyFont="1" applyFill="1" applyAlignment="1">
      <alignment vertical="center" wrapText="1"/>
    </xf>
    <xf numFmtId="0" fontId="5" fillId="0" borderId="0" xfId="0" applyFont="1" applyAlignment="1">
      <alignment wrapText="1"/>
    </xf>
    <xf numFmtId="0" fontId="5" fillId="5" borderId="1" xfId="0" applyFont="1" applyFill="1" applyBorder="1" applyAlignment="1" applyProtection="1">
      <alignment vertical="center"/>
      <protection locked="0"/>
    </xf>
    <xf numFmtId="0" fontId="0" fillId="0" borderId="2" xfId="0" applyBorder="1" applyProtection="1">
      <protection locked="0"/>
    </xf>
  </cellXfs>
  <cellStyles count="1">
    <cellStyle name="Normal" xfId="0" builtinId="0"/>
  </cellStyles>
  <dxfs count="7">
    <dxf>
      <fill>
        <patternFill patternType="solid">
          <fgColor rgb="FFF8CBAD"/>
        </patternFill>
      </fill>
    </dxf>
    <dxf>
      <fill>
        <patternFill patternType="solid">
          <fgColor rgb="FFF8CBAD"/>
        </patternFill>
      </fill>
    </dxf>
    <dxf>
      <fill>
        <patternFill patternType="solid">
          <fgColor rgb="FFF8CBAD"/>
        </patternFill>
      </fill>
    </dxf>
    <dxf>
      <fill>
        <patternFill patternType="solid">
          <fgColor rgb="FFF8CBAD"/>
        </patternFill>
      </fill>
    </dxf>
    <dxf>
      <fill>
        <patternFill patternType="solid">
          <fgColor rgb="FFC6EFCE"/>
        </patternFill>
      </fill>
    </dxf>
    <dxf>
      <fill>
        <patternFill patternType="solid">
          <fgColor rgb="FFF8CBAD"/>
        </patternFill>
      </fill>
    </dxf>
    <dxf>
      <fill>
        <patternFill patternType="solid">
          <fgColor rgb="FFF8CBAD"/>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 Id="rId8" Type="http://schemas.openxmlformats.org/officeDocument/2006/relationships/worksheet" Target="worksheets/sheet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t>Estimate vs target by stage (₹)</a:t>
            </a:r>
          </a:p>
        </c:rich>
      </c:tx>
      <c:overlay val="1"/>
    </c:title>
    <c:autoTitleDeleted val="0"/>
    <c:plotArea>
      <c:layout/>
      <c:barChart>
        <c:barDir val="col"/>
        <c:grouping val="clustered"/>
        <c:varyColors val="1"/>
        <c:ser>
          <c:idx val="0"/>
          <c:order val="0"/>
          <c:tx>
            <c:strRef>
              <c:f>'Stage Budget'!$B$5</c:f>
              <c:strCache>
                <c:ptCount val="1"/>
                <c:pt idx="0">
                  <c:v>Estimated (₹, before contingency &amp; GST)</c:v>
                </c:pt>
              </c:strCache>
            </c:strRef>
          </c:tx>
          <c:spPr>
            <a:ln>
              <a:prstDash val="solid"/>
            </a:ln>
          </c:spPr>
          <c:invertIfNegative val="1"/>
          <c:cat>
            <c:strRef>
              <c:f>'Stage Budget'!$A$6:$A$14</c:f>
              <c:strCache>
                <c:ptCount val="9"/>
                <c:pt idx="0">
                  <c:v>Site preparation &amp; foundation</c:v>
                </c:pt>
                <c:pt idx="1">
                  <c:v>Structure (concrete &amp; steel)</c:v>
                </c:pt>
                <c:pt idx="2">
                  <c:v>Masonry (walls)</c:v>
                </c:pt>
                <c:pt idx="3">
                  <c:v>Flooring</c:v>
                </c:pt>
                <c:pt idx="4">
                  <c:v>Painting</c:v>
                </c:pt>
                <c:pt idx="5">
                  <c:v>Doors, windows &amp; fittings</c:v>
                </c:pt>
                <c:pt idx="6">
                  <c:v>Plumbing &amp; electrical</c:v>
                </c:pt>
                <c:pt idx="7">
                  <c:v>Kitchen &amp; bathrooms</c:v>
                </c:pt>
                <c:pt idx="8">
                  <c:v>Approvals, fees &amp; other</c:v>
                </c:pt>
              </c:strCache>
            </c:strRef>
          </c:cat>
          <c:val>
            <c:numRef>
              <c:f>'Stage Budget'!$B$6:$B$14</c:f>
              <c:numCache>
                <c:formatCode>[&gt;=10000000]"₹"##\,##\,##\,##0;[&gt;=100000]"₹"##\,##\,##0;"₹"##,##0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3C55-4997-93E9-42E5D225458F}"/>
            </c:ext>
          </c:extLst>
        </c:ser>
        <c:ser>
          <c:idx val="1"/>
          <c:order val="1"/>
          <c:tx>
            <c:strRef>
              <c:f>'Stage Budget'!$E$5</c:f>
              <c:strCache>
                <c:ptCount val="1"/>
                <c:pt idx="0">
                  <c:v>Target (₹)</c:v>
                </c:pt>
              </c:strCache>
            </c:strRef>
          </c:tx>
          <c:spPr>
            <a:ln>
              <a:prstDash val="solid"/>
            </a:ln>
          </c:spPr>
          <c:invertIfNegative val="1"/>
          <c:cat>
            <c:strRef>
              <c:f>'Stage Budget'!$A$6:$A$14</c:f>
              <c:strCache>
                <c:ptCount val="9"/>
                <c:pt idx="0">
                  <c:v>Site preparation &amp; foundation</c:v>
                </c:pt>
                <c:pt idx="1">
                  <c:v>Structure (concrete &amp; steel)</c:v>
                </c:pt>
                <c:pt idx="2">
                  <c:v>Masonry (walls)</c:v>
                </c:pt>
                <c:pt idx="3">
                  <c:v>Flooring</c:v>
                </c:pt>
                <c:pt idx="4">
                  <c:v>Painting</c:v>
                </c:pt>
                <c:pt idx="5">
                  <c:v>Doors, windows &amp; fittings</c:v>
                </c:pt>
                <c:pt idx="6">
                  <c:v>Plumbing &amp; electrical</c:v>
                </c:pt>
                <c:pt idx="7">
                  <c:v>Kitchen &amp; bathrooms</c:v>
                </c:pt>
                <c:pt idx="8">
                  <c:v>Approvals, fees &amp; other</c:v>
                </c:pt>
              </c:strCache>
            </c:strRef>
          </c:cat>
          <c:val>
            <c:numRef>
              <c:f>'Stage Budget'!$E$6:$E$14</c:f>
              <c:numCache>
                <c:formatCode>[&gt;=10000000]"₹"##\,##\,##\,##0;[&gt;=100000]"₹"##\,##\,##0;"₹"##,##0</c:formatCode>
                <c:ptCount val="9"/>
                <c:pt idx="0">
                  <c:v>200000</c:v>
                </c:pt>
                <c:pt idx="1">
                  <c:v>750000</c:v>
                </c:pt>
                <c:pt idx="2">
                  <c:v>375000</c:v>
                </c:pt>
                <c:pt idx="3">
                  <c:v>200000</c:v>
                </c:pt>
                <c:pt idx="4">
                  <c:v>175000.00000000003</c:v>
                </c:pt>
                <c:pt idx="5">
                  <c:v>175000.00000000003</c:v>
                </c:pt>
                <c:pt idx="6">
                  <c:v>300000</c:v>
                </c:pt>
                <c:pt idx="7">
                  <c:v>200000</c:v>
                </c:pt>
                <c:pt idx="8">
                  <c:v>125000</c:v>
                </c:pt>
              </c:numCache>
            </c:numRef>
          </c:val>
          <c:extLst>
            <c:ext xmlns:c16="http://schemas.microsoft.com/office/drawing/2014/chart" uri="{C3380CC4-5D6E-409C-BE32-E72D297353CC}">
              <c16:uniqueId val="{00000001-3C55-4997-93E9-42E5D225458F}"/>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gt;=10000000]&quot;₹&quot;##\,##\,##\,##0;[&gt;=100000]&quot;₹&quot;##\,##\,##0;&quot;₹&quot;##,##0"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t>Tasks by status</a:t>
            </a:r>
          </a:p>
        </c:rich>
      </c:tx>
      <c:overlay val="1"/>
    </c:title>
    <c:autoTitleDeleted val="0"/>
    <c:plotArea>
      <c:layout/>
      <c:barChart>
        <c:barDir val="bar"/>
        <c:grouping val="clustered"/>
        <c:varyColors val="1"/>
        <c:ser>
          <c:idx val="0"/>
          <c:order val="0"/>
          <c:spPr>
            <a:ln>
              <a:prstDash val="solid"/>
            </a:ln>
          </c:spPr>
          <c:invertIfNegative val="1"/>
          <c:cat>
            <c:strRef>
              <c:f>'Task Tracker'!$K$6:$K$9</c:f>
              <c:strCache>
                <c:ptCount val="4"/>
                <c:pt idx="0">
                  <c:v>Not started</c:v>
                </c:pt>
                <c:pt idx="1">
                  <c:v>In progress</c:v>
                </c:pt>
                <c:pt idx="2">
                  <c:v>Done</c:v>
                </c:pt>
                <c:pt idx="3">
                  <c:v>On hold</c:v>
                </c:pt>
              </c:strCache>
            </c:strRef>
          </c:cat>
          <c:val>
            <c:numRef>
              <c:f>'Task Tracker'!$L$6:$L$9</c:f>
              <c:numCache>
                <c:formatCode>#,##0</c:formatCode>
                <c:ptCount val="4"/>
                <c:pt idx="0">
                  <c:v>12</c:v>
                </c:pt>
                <c:pt idx="1">
                  <c:v>0</c:v>
                </c:pt>
                <c:pt idx="2">
                  <c:v>0</c:v>
                </c:pt>
                <c:pt idx="3">
                  <c:v>0</c:v>
                </c:pt>
              </c:numCache>
            </c:numRef>
          </c:val>
          <c:extLst>
            <c:ext xmlns:c16="http://schemas.microsoft.com/office/drawing/2014/chart" uri="{C3380CC4-5D6E-409C-BE32-E72D297353CC}">
              <c16:uniqueId val="{00000000-F698-4177-B03E-A72C1EF5263C}"/>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numFmt formatCode="#,##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t>Estimated vs actual by cost line (₹)</a:t>
            </a:r>
          </a:p>
        </c:rich>
      </c:tx>
      <c:overlay val="1"/>
    </c:title>
    <c:autoTitleDeleted val="0"/>
    <c:plotArea>
      <c:layout/>
      <c:barChart>
        <c:barDir val="bar"/>
        <c:grouping val="clustered"/>
        <c:varyColors val="1"/>
        <c:ser>
          <c:idx val="0"/>
          <c:order val="0"/>
          <c:tx>
            <c:strRef>
              <c:f>'Cost Estimate'!$C$5</c:f>
              <c:strCache>
                <c:ptCount val="1"/>
                <c:pt idx="0">
                  <c:v>Estimated (₹)</c:v>
                </c:pt>
              </c:strCache>
            </c:strRef>
          </c:tx>
          <c:spPr>
            <a:ln>
              <a:prstDash val="solid"/>
            </a:ln>
          </c:spPr>
          <c:invertIfNegative val="1"/>
          <c:cat>
            <c:strRef>
              <c:f>'Cost Estimate'!$A$6:$A$25</c:f>
              <c:strCache>
                <c:ptCount val="20"/>
                <c:pt idx="0">
                  <c:v>Site preparation &amp; foundation (excavation, clearing)</c:v>
                </c:pt>
                <c:pt idx="1">
                  <c:v>Concrete &amp; RCC</c:v>
                </c:pt>
                <c:pt idx="2">
                  <c:v>Steel reinforcement</c:v>
                </c:pt>
                <c:pt idx="3">
                  <c:v>Brickwork &amp; masonry labour</c:v>
                </c:pt>
                <c:pt idx="4">
                  <c:v>Plaster (walls and ceilings, materials and labour)</c:v>
                </c:pt>
                <c:pt idx="5">
                  <c:v>Floor tiles (materials and laying labour)</c:v>
                </c:pt>
                <c:pt idx="6">
                  <c:v>Interior paint (materials and labour)</c:v>
                </c:pt>
                <c:pt idx="7">
                  <c:v>External paint (materials and labour)</c:v>
                </c:pt>
                <c:pt idx="8">
                  <c:v>Doors</c:v>
                </c:pt>
                <c:pt idx="9">
                  <c:v>Windows</c:v>
                </c:pt>
                <c:pt idx="10">
                  <c:v>Plumbing fittings and pipes</c:v>
                </c:pt>
                <c:pt idx="11">
                  <c:v>Electrical wiring and fittings</c:v>
                </c:pt>
                <c:pt idx="12">
                  <c:v>Kitchen counter and cabinets</c:v>
                </c:pt>
                <c:pt idx="13">
                  <c:v>Sanitaryware and taps</c:v>
                </c:pt>
                <c:pt idx="14">
                  <c:v>Waterproofing (bathrooms, kitchen, wet areas)</c:v>
                </c:pt>
                <c:pt idx="15">
                  <c:v>Roof waterproofing (flat roof)</c:v>
                </c:pt>
                <c:pt idx="16">
                  <c:v>General labour (not in calculators)</c:v>
                </c:pt>
                <c:pt idx="17">
                  <c:v>Transport and unloading</c:v>
                </c:pt>
                <c:pt idx="18">
                  <c:v>Approvals and fees (total from Permits tab)</c:v>
                </c:pt>
                <c:pt idx="19">
                  <c:v>Other</c:v>
                </c:pt>
              </c:strCache>
            </c:strRef>
          </c:cat>
          <c:val>
            <c:numRef>
              <c:f>'Cost Estimate'!$C$6:$C$25</c:f>
              <c:numCache>
                <c:formatCode>[&gt;=10000000]"₹"##\,##\,##\,##0;[&gt;=100000]"₹"##\,##\,##0;"₹"##,##0</c:formatCode>
                <c:ptCount val="20"/>
                <c:pt idx="0">
                  <c:v>0</c:v>
                </c:pt>
                <c:pt idx="1">
                  <c:v>0</c:v>
                </c:pt>
                <c:pt idx="2">
                  <c:v>0</c:v>
                </c:pt>
                <c:pt idx="3">
                  <c:v>0</c:v>
                </c:pt>
                <c:pt idx="4">
                  <c:v>0</c:v>
                </c:pt>
                <c:pt idx="5">
                  <c:v>0</c:v>
                </c:pt>
                <c:pt idx="6">
                  <c:v>0</c:v>
                </c:pt>
                <c:pt idx="7">
                  <c:v>0</c:v>
                </c:pt>
                <c:pt idx="10">
                  <c:v>0</c:v>
                </c:pt>
                <c:pt idx="11">
                  <c:v>0</c:v>
                </c:pt>
                <c:pt idx="15">
                  <c:v>0</c:v>
                </c:pt>
                <c:pt idx="18">
                  <c:v>0</c:v>
                </c:pt>
              </c:numCache>
            </c:numRef>
          </c:val>
          <c:extLst>
            <c:ext xmlns:c16="http://schemas.microsoft.com/office/drawing/2014/chart" uri="{C3380CC4-5D6E-409C-BE32-E72D297353CC}">
              <c16:uniqueId val="{00000000-CD16-4ACE-A5B7-8088DE4F4F87}"/>
            </c:ext>
          </c:extLst>
        </c:ser>
        <c:ser>
          <c:idx val="1"/>
          <c:order val="1"/>
          <c:tx>
            <c:strRef>
              <c:f>'Cost Estimate'!$D$5</c:f>
              <c:strCache>
                <c:ptCount val="1"/>
                <c:pt idx="0">
                  <c:v>Actual spent (₹)</c:v>
                </c:pt>
              </c:strCache>
            </c:strRef>
          </c:tx>
          <c:spPr>
            <a:ln>
              <a:prstDash val="solid"/>
            </a:ln>
          </c:spPr>
          <c:invertIfNegative val="1"/>
          <c:cat>
            <c:strRef>
              <c:f>'Cost Estimate'!$A$6:$A$25</c:f>
              <c:strCache>
                <c:ptCount val="20"/>
                <c:pt idx="0">
                  <c:v>Site preparation &amp; foundation (excavation, clearing)</c:v>
                </c:pt>
                <c:pt idx="1">
                  <c:v>Concrete &amp; RCC</c:v>
                </c:pt>
                <c:pt idx="2">
                  <c:v>Steel reinforcement</c:v>
                </c:pt>
                <c:pt idx="3">
                  <c:v>Brickwork &amp; masonry labour</c:v>
                </c:pt>
                <c:pt idx="4">
                  <c:v>Plaster (walls and ceilings, materials and labour)</c:v>
                </c:pt>
                <c:pt idx="5">
                  <c:v>Floor tiles (materials and laying labour)</c:v>
                </c:pt>
                <c:pt idx="6">
                  <c:v>Interior paint (materials and labour)</c:v>
                </c:pt>
                <c:pt idx="7">
                  <c:v>External paint (materials and labour)</c:v>
                </c:pt>
                <c:pt idx="8">
                  <c:v>Doors</c:v>
                </c:pt>
                <c:pt idx="9">
                  <c:v>Windows</c:v>
                </c:pt>
                <c:pt idx="10">
                  <c:v>Plumbing fittings and pipes</c:v>
                </c:pt>
                <c:pt idx="11">
                  <c:v>Electrical wiring and fittings</c:v>
                </c:pt>
                <c:pt idx="12">
                  <c:v>Kitchen counter and cabinets</c:v>
                </c:pt>
                <c:pt idx="13">
                  <c:v>Sanitaryware and taps</c:v>
                </c:pt>
                <c:pt idx="14">
                  <c:v>Waterproofing (bathrooms, kitchen, wet areas)</c:v>
                </c:pt>
                <c:pt idx="15">
                  <c:v>Roof waterproofing (flat roof)</c:v>
                </c:pt>
                <c:pt idx="16">
                  <c:v>General labour (not in calculators)</c:v>
                </c:pt>
                <c:pt idx="17">
                  <c:v>Transport and unloading</c:v>
                </c:pt>
                <c:pt idx="18">
                  <c:v>Approvals and fees (total from Permits tab)</c:v>
                </c:pt>
                <c:pt idx="19">
                  <c:v>Other</c:v>
                </c:pt>
              </c:strCache>
            </c:strRef>
          </c:cat>
          <c:val>
            <c:numRef>
              <c:f>'Cost Estimate'!$D$6:$D$25</c:f>
              <c:numCache>
                <c:formatCode>[&gt;=10000000]"₹"##\,##\,##\,##0;[&gt;=100000]"₹"##\,##\,##0;"₹"##,##0</c:formatCode>
                <c:ptCount val="20"/>
              </c:numCache>
            </c:numRef>
          </c:val>
          <c:extLst>
            <c:ext xmlns:c16="http://schemas.microsoft.com/office/drawing/2014/chart" uri="{C3380CC4-5D6E-409C-BE32-E72D297353CC}">
              <c16:uniqueId val="{00000001-CD16-4ACE-A5B7-8088DE4F4F87}"/>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numFmt formatCode="[&gt;=10000000]&quot;₹&quot;##\,##\,##\,##0;[&gt;=100000]&quot;₹&quot;##\,##\,##0;&quot;₹&quot;##,##0"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Where the estimate goes</a:t>
            </a:r>
          </a:p>
        </c:rich>
      </c:tx>
      <c:overlay val="1"/>
    </c:title>
    <c:autoTitleDeleted val="0"/>
    <c:plotArea>
      <c:layout/>
      <c:pieChart>
        <c:varyColors val="1"/>
        <c:ser>
          <c:idx val="0"/>
          <c:order val="0"/>
          <c:tx>
            <c:strRef>
              <c:f>'Stage Budget'!$B$5</c:f>
              <c:strCache>
                <c:ptCount val="1"/>
                <c:pt idx="0">
                  <c:v>Estimated (₹, before contingency &amp; GST)</c:v>
                </c:pt>
              </c:strCache>
            </c:strRef>
          </c:tx>
          <c:spPr>
            <a:ln>
              <a:prstDash val="solid"/>
            </a:ln>
          </c:spPr>
          <c:cat>
            <c:strRef>
              <c:f>'Stage Budget'!$A$6:$A$14</c:f>
              <c:strCache>
                <c:ptCount val="9"/>
                <c:pt idx="0">
                  <c:v>Site preparation &amp; foundation</c:v>
                </c:pt>
                <c:pt idx="1">
                  <c:v>Structure (concrete &amp; steel)</c:v>
                </c:pt>
                <c:pt idx="2">
                  <c:v>Masonry (walls)</c:v>
                </c:pt>
                <c:pt idx="3">
                  <c:v>Flooring</c:v>
                </c:pt>
                <c:pt idx="4">
                  <c:v>Painting</c:v>
                </c:pt>
                <c:pt idx="5">
                  <c:v>Doors, windows &amp; fittings</c:v>
                </c:pt>
                <c:pt idx="6">
                  <c:v>Plumbing &amp; electrical</c:v>
                </c:pt>
                <c:pt idx="7">
                  <c:v>Kitchen &amp; bathrooms</c:v>
                </c:pt>
                <c:pt idx="8">
                  <c:v>Approvals, fees &amp; other</c:v>
                </c:pt>
              </c:strCache>
            </c:strRef>
          </c:cat>
          <c:val>
            <c:numRef>
              <c:f>'Stage Budget'!$B$6:$B$14</c:f>
              <c:numCache>
                <c:formatCode>[&gt;=10000000]"₹"##\,##\,##\,##0;[&gt;=100000]"₹"##\,##\,##0;"₹"##,##0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FEBE-4D60-9B83-B41A627A7622}"/>
            </c:ext>
          </c:extLst>
        </c:ser>
        <c:dLbls>
          <c:showLegendKey val="0"/>
          <c:showVal val="0"/>
          <c:showCatName val="0"/>
          <c:showSerName val="0"/>
          <c:showPercent val="0"/>
          <c:showBubbleSize val="0"/>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9</xdr:col>
      <xdr:colOff>0</xdr:colOff>
      <xdr:row>3</xdr:row>
      <xdr:rowOff>0</xdr:rowOff>
    </xdr:from>
    <xdr:ext cx="7920000" cy="3240000"/>
    <xdr:graphicFrame macro="">
      <xdr:nvGraphicFramePr>
        <xdr:cNvPr id="2" name="Chart 1">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10</xdr:col>
      <xdr:colOff>0</xdr:colOff>
      <xdr:row>12</xdr:row>
      <xdr:rowOff>0</xdr:rowOff>
    </xdr:from>
    <xdr:ext cx="5040000" cy="2520000"/>
    <xdr:graphicFrame macro="">
      <xdr:nvGraphicFramePr>
        <xdr:cNvPr id="2" name="Chart 1">
          <a:extLst>
            <a:ext uri="{FF2B5EF4-FFF2-40B4-BE49-F238E27FC236}">
              <a16:creationId xmlns:a16="http://schemas.microsoft.com/office/drawing/2014/main" id="{00000000-0008-0000-1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3</xdr:col>
      <xdr:colOff>0</xdr:colOff>
      <xdr:row>3</xdr:row>
      <xdr:rowOff>0</xdr:rowOff>
    </xdr:from>
    <xdr:ext cx="7200000" cy="3960000"/>
    <xdr:graphicFrame macro="">
      <xdr:nvGraphicFramePr>
        <xdr:cNvPr id="2" name="Chart 1">
          <a:extLst>
            <a:ext uri="{FF2B5EF4-FFF2-40B4-BE49-F238E27FC236}">
              <a16:creationId xmlns:a16="http://schemas.microsoft.com/office/drawing/2014/main" id="{00000000-0008-0000-1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3</xdr:col>
      <xdr:colOff>0</xdr:colOff>
      <xdr:row>27</xdr:row>
      <xdr:rowOff>0</xdr:rowOff>
    </xdr:from>
    <xdr:ext cx="7200000" cy="3240000"/>
    <xdr:graphicFrame macro="">
      <xdr:nvGraphicFramePr>
        <xdr:cNvPr id="3" name="Chart 2">
          <a:extLst>
            <a:ext uri="{FF2B5EF4-FFF2-40B4-BE49-F238E27FC236}">
              <a16:creationId xmlns:a16="http://schemas.microsoft.com/office/drawing/2014/main" id="{00000000-0008-0000-1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F5D50"/>
  </sheetPr>
  <dimension ref="A1:C55"/>
  <sheetViews>
    <sheetView showGridLines="0" tabSelected="1" topLeftCell="A25" workbookViewId="0"/>
  </sheetViews>
  <sheetFormatPr defaultRowHeight="15"/>
  <cols>
    <col min="1" max="1" width="22" customWidth="1"/>
    <col min="2" max="2" width="100" customWidth="1"/>
    <col min="3" max="3" width="16.28515625" customWidth="1"/>
  </cols>
  <sheetData>
    <row r="1" spans="1:3" ht="19.5">
      <c r="A1" s="1" t="s">
        <v>0</v>
      </c>
    </row>
    <row r="2" spans="1:3">
      <c r="A2" s="2" t="s">
        <v>1</v>
      </c>
    </row>
    <row r="4" spans="1:3">
      <c r="A4" s="3" t="s">
        <v>2</v>
      </c>
      <c r="B4" s="4"/>
      <c r="C4" s="4"/>
    </row>
    <row r="5" spans="1:3" ht="33.950000000000003" customHeight="1">
      <c r="A5" s="5" t="s">
        <v>3</v>
      </c>
      <c r="B5" s="5" t="s">
        <v>4</v>
      </c>
      <c r="C5" s="5" t="s">
        <v>5</v>
      </c>
    </row>
    <row r="6" spans="1:3" ht="30" customHeight="1">
      <c r="A6" s="6" t="s">
        <v>6</v>
      </c>
      <c r="B6" s="6" t="s">
        <v>7</v>
      </c>
      <c r="C6" s="7" t="s">
        <v>8</v>
      </c>
    </row>
    <row r="7" spans="1:3" ht="30" customHeight="1">
      <c r="A7" s="6" t="s">
        <v>9</v>
      </c>
      <c r="B7" s="6" t="s">
        <v>10</v>
      </c>
      <c r="C7" s="7" t="s">
        <v>11</v>
      </c>
    </row>
    <row r="8" spans="1:3" ht="30" customHeight="1">
      <c r="A8" s="6" t="s">
        <v>12</v>
      </c>
      <c r="B8" s="6" t="s">
        <v>13</v>
      </c>
      <c r="C8" s="7" t="s">
        <v>14</v>
      </c>
    </row>
    <row r="9" spans="1:3" ht="30" customHeight="1">
      <c r="A9" s="6" t="s">
        <v>15</v>
      </c>
      <c r="B9" s="6" t="s">
        <v>16</v>
      </c>
      <c r="C9" s="7" t="s">
        <v>17</v>
      </c>
    </row>
    <row r="10" spans="1:3" ht="30" customHeight="1">
      <c r="A10" s="6" t="s">
        <v>18</v>
      </c>
      <c r="B10" s="6" t="s">
        <v>19</v>
      </c>
      <c r="C10" s="7" t="s">
        <v>20</v>
      </c>
    </row>
    <row r="12" spans="1:3">
      <c r="A12" s="3" t="s">
        <v>21</v>
      </c>
      <c r="B12" s="4"/>
      <c r="C12" s="4"/>
    </row>
    <row r="13" spans="1:3" ht="33.950000000000003" customHeight="1">
      <c r="A13" s="5" t="s">
        <v>22</v>
      </c>
      <c r="B13" s="5" t="s">
        <v>23</v>
      </c>
    </row>
    <row r="14" spans="1:3">
      <c r="A14" s="6" t="s">
        <v>7</v>
      </c>
      <c r="B14" s="6" t="s">
        <v>24</v>
      </c>
    </row>
    <row r="15" spans="1:3">
      <c r="A15" s="6" t="s">
        <v>25</v>
      </c>
      <c r="B15" s="6" t="s">
        <v>26</v>
      </c>
    </row>
    <row r="16" spans="1:3">
      <c r="A16" s="6" t="s">
        <v>27</v>
      </c>
      <c r="B16" s="6" t="s">
        <v>28</v>
      </c>
    </row>
    <row r="17" spans="1:2">
      <c r="A17" s="6" t="s">
        <v>29</v>
      </c>
      <c r="B17" s="6" t="s">
        <v>30</v>
      </c>
    </row>
    <row r="18" spans="1:2">
      <c r="A18" s="6" t="s">
        <v>31</v>
      </c>
      <c r="B18" s="6" t="s">
        <v>32</v>
      </c>
    </row>
    <row r="19" spans="1:2">
      <c r="A19" s="6" t="s">
        <v>33</v>
      </c>
      <c r="B19" s="6" t="s">
        <v>34</v>
      </c>
    </row>
    <row r="20" spans="1:2">
      <c r="A20" s="6" t="s">
        <v>35</v>
      </c>
      <c r="B20" s="6" t="s">
        <v>36</v>
      </c>
    </row>
    <row r="21" spans="1:2">
      <c r="A21" s="6" t="s">
        <v>37</v>
      </c>
      <c r="B21" s="6" t="s">
        <v>38</v>
      </c>
    </row>
    <row r="22" spans="1:2">
      <c r="A22" s="6" t="s">
        <v>39</v>
      </c>
      <c r="B22" s="6" t="s">
        <v>40</v>
      </c>
    </row>
    <row r="23" spans="1:2">
      <c r="A23" s="6" t="s">
        <v>41</v>
      </c>
      <c r="B23" s="6" t="s">
        <v>42</v>
      </c>
    </row>
    <row r="24" spans="1:2">
      <c r="A24" s="6" t="s">
        <v>43</v>
      </c>
      <c r="B24" s="6" t="s">
        <v>44</v>
      </c>
    </row>
    <row r="25" spans="1:2">
      <c r="A25" s="6" t="s">
        <v>45</v>
      </c>
      <c r="B25" s="6" t="s">
        <v>46</v>
      </c>
    </row>
    <row r="26" spans="1:2">
      <c r="A26" s="6" t="s">
        <v>47</v>
      </c>
      <c r="B26" s="6" t="s">
        <v>48</v>
      </c>
    </row>
    <row r="27" spans="1:2">
      <c r="A27" s="6" t="s">
        <v>49</v>
      </c>
      <c r="B27" s="6" t="s">
        <v>50</v>
      </c>
    </row>
    <row r="28" spans="1:2">
      <c r="A28" s="6" t="s">
        <v>16</v>
      </c>
      <c r="B28" s="6" t="s">
        <v>51</v>
      </c>
    </row>
    <row r="29" spans="1:2">
      <c r="A29" s="6" t="s">
        <v>52</v>
      </c>
      <c r="B29" s="6" t="s">
        <v>53</v>
      </c>
    </row>
    <row r="30" spans="1:2">
      <c r="A30" s="6" t="s">
        <v>54</v>
      </c>
      <c r="B30" s="6" t="s">
        <v>55</v>
      </c>
    </row>
    <row r="31" spans="1:2">
      <c r="A31" s="6" t="s">
        <v>56</v>
      </c>
      <c r="B31" s="6" t="s">
        <v>57</v>
      </c>
    </row>
    <row r="32" spans="1:2">
      <c r="A32" s="6" t="s">
        <v>58</v>
      </c>
      <c r="B32" s="6" t="s">
        <v>59</v>
      </c>
    </row>
    <row r="33" spans="1:3">
      <c r="A33" s="6" t="s">
        <v>60</v>
      </c>
      <c r="B33" s="6" t="s">
        <v>61</v>
      </c>
    </row>
    <row r="34" spans="1:3">
      <c r="A34" s="6" t="s">
        <v>10</v>
      </c>
      <c r="B34" s="6" t="s">
        <v>62</v>
      </c>
    </row>
    <row r="35" spans="1:3">
      <c r="A35" s="6" t="s">
        <v>63</v>
      </c>
      <c r="B35" s="6" t="s">
        <v>64</v>
      </c>
    </row>
    <row r="36" spans="1:3">
      <c r="A36" s="6" t="s">
        <v>65</v>
      </c>
      <c r="B36" s="6" t="s">
        <v>66</v>
      </c>
    </row>
    <row r="37" spans="1:3">
      <c r="A37" s="6" t="s">
        <v>67</v>
      </c>
      <c r="B37" s="6" t="s">
        <v>68</v>
      </c>
    </row>
    <row r="38" spans="1:3">
      <c r="A38" s="6" t="s">
        <v>69</v>
      </c>
      <c r="B38" s="6" t="s">
        <v>70</v>
      </c>
    </row>
    <row r="39" spans="1:3">
      <c r="A39" s="6" t="s">
        <v>71</v>
      </c>
      <c r="B39" s="6" t="s">
        <v>72</v>
      </c>
    </row>
    <row r="40" spans="1:3">
      <c r="A40" s="6" t="s">
        <v>73</v>
      </c>
      <c r="B40" s="6" t="s">
        <v>74</v>
      </c>
    </row>
    <row r="41" spans="1:3">
      <c r="A41" s="6" t="s">
        <v>75</v>
      </c>
      <c r="B41" s="6" t="s">
        <v>76</v>
      </c>
    </row>
    <row r="42" spans="1:3">
      <c r="A42" s="6" t="s">
        <v>77</v>
      </c>
      <c r="B42" s="6" t="s">
        <v>78</v>
      </c>
    </row>
    <row r="43" spans="1:3">
      <c r="A43" s="6" t="s">
        <v>79</v>
      </c>
      <c r="B43" s="6" t="s">
        <v>80</v>
      </c>
    </row>
    <row r="45" spans="1:3">
      <c r="A45" s="3" t="s">
        <v>81</v>
      </c>
      <c r="B45" s="4"/>
      <c r="C45" s="4"/>
    </row>
    <row r="46" spans="1:3" ht="32.1" customHeight="1">
      <c r="A46" s="34" t="s">
        <v>82</v>
      </c>
      <c r="B46" s="35"/>
      <c r="C46" s="35"/>
    </row>
    <row r="47" spans="1:3" ht="32.1" customHeight="1">
      <c r="A47" s="34" t="s">
        <v>83</v>
      </c>
      <c r="B47" s="35"/>
      <c r="C47" s="35"/>
    </row>
    <row r="48" spans="1:3" ht="32.1" customHeight="1">
      <c r="A48" s="34" t="s">
        <v>84</v>
      </c>
      <c r="B48" s="35"/>
      <c r="C48" s="35"/>
    </row>
    <row r="49" spans="1:3" ht="32.1" customHeight="1">
      <c r="A49" s="34" t="s">
        <v>85</v>
      </c>
      <c r="B49" s="35"/>
      <c r="C49" s="35"/>
    </row>
    <row r="50" spans="1:3" ht="32.1" customHeight="1">
      <c r="A50" s="34" t="s">
        <v>86</v>
      </c>
      <c r="B50" s="35"/>
      <c r="C50" s="35"/>
    </row>
    <row r="51" spans="1:3" ht="32.1" customHeight="1">
      <c r="A51" s="34" t="s">
        <v>87</v>
      </c>
      <c r="B51" s="35"/>
      <c r="C51" s="35"/>
    </row>
    <row r="52" spans="1:3" ht="32.1" customHeight="1">
      <c r="A52" s="34" t="s">
        <v>88</v>
      </c>
      <c r="B52" s="35"/>
      <c r="C52" s="35"/>
    </row>
    <row r="53" spans="1:3" ht="32.1" customHeight="1">
      <c r="A53" s="34" t="s">
        <v>89</v>
      </c>
      <c r="B53" s="35"/>
      <c r="C53" s="35"/>
    </row>
    <row r="54" spans="1:3" ht="32.1" customHeight="1">
      <c r="A54" s="34" t="s">
        <v>90</v>
      </c>
      <c r="B54" s="35"/>
      <c r="C54" s="35"/>
    </row>
    <row r="55" spans="1:3" ht="32.1" customHeight="1">
      <c r="A55" s="34" t="s">
        <v>91</v>
      </c>
      <c r="B55" s="35"/>
      <c r="C55" s="35"/>
    </row>
  </sheetData>
  <sheetProtection sheet="1" formatCells="0" formatColumns="0" formatRows="0"/>
  <mergeCells count="10">
    <mergeCell ref="A49:C49"/>
    <mergeCell ref="A47:C47"/>
    <mergeCell ref="A46:C46"/>
    <mergeCell ref="A53:C53"/>
    <mergeCell ref="A55:C55"/>
    <mergeCell ref="A50:C50"/>
    <mergeCell ref="A48:C48"/>
    <mergeCell ref="A54:C54"/>
    <mergeCell ref="A51:C51"/>
    <mergeCell ref="A52:C5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F5D50"/>
  </sheetPr>
  <dimension ref="A1:C23"/>
  <sheetViews>
    <sheetView showGridLines="0" workbookViewId="0"/>
  </sheetViews>
  <sheetFormatPr defaultRowHeight="15"/>
  <cols>
    <col min="1" max="2" width="30" customWidth="1"/>
    <col min="3" max="3" width="70" customWidth="1"/>
  </cols>
  <sheetData>
    <row r="1" spans="1:3" ht="19.5">
      <c r="A1" s="1" t="s">
        <v>92</v>
      </c>
    </row>
    <row r="2" spans="1:3">
      <c r="A2" s="2" t="s">
        <v>93</v>
      </c>
    </row>
    <row r="4" spans="1:3" ht="33.950000000000003" customHeight="1">
      <c r="A4" s="5" t="s">
        <v>94</v>
      </c>
      <c r="B4" s="5" t="s">
        <v>95</v>
      </c>
      <c r="C4" s="5" t="s">
        <v>96</v>
      </c>
    </row>
    <row r="5" spans="1:3">
      <c r="A5" s="9" t="s">
        <v>97</v>
      </c>
      <c r="B5" s="10" t="s">
        <v>98</v>
      </c>
      <c r="C5" s="8" t="s">
        <v>99</v>
      </c>
    </row>
    <row r="6" spans="1:3">
      <c r="A6" s="9" t="s">
        <v>100</v>
      </c>
      <c r="B6" s="10"/>
      <c r="C6" s="8" t="s">
        <v>101</v>
      </c>
    </row>
    <row r="7" spans="1:3">
      <c r="A7" s="9" t="s">
        <v>102</v>
      </c>
      <c r="B7" s="11">
        <v>1500</v>
      </c>
      <c r="C7" s="8" t="s">
        <v>103</v>
      </c>
    </row>
    <row r="8" spans="1:3">
      <c r="A8" s="9" t="s">
        <v>104</v>
      </c>
      <c r="B8" s="12">
        <v>2500000</v>
      </c>
      <c r="C8" s="8" t="s">
        <v>105</v>
      </c>
    </row>
    <row r="9" spans="1:3">
      <c r="A9" s="9" t="s">
        <v>106</v>
      </c>
      <c r="B9" s="10" t="s">
        <v>107</v>
      </c>
      <c r="C9" s="8" t="s">
        <v>108</v>
      </c>
    </row>
    <row r="10" spans="1:3" ht="30">
      <c r="A10" s="9" t="s">
        <v>109</v>
      </c>
      <c r="B10" s="10" t="s">
        <v>110</v>
      </c>
      <c r="C10" s="8" t="s">
        <v>111</v>
      </c>
    </row>
    <row r="12" spans="1:3">
      <c r="A12" s="3" t="s">
        <v>112</v>
      </c>
      <c r="B12" s="4"/>
      <c r="C12" s="4"/>
    </row>
    <row r="13" spans="1:3" ht="33.950000000000003" customHeight="1">
      <c r="A13" s="5" t="s">
        <v>3</v>
      </c>
      <c r="B13" s="5" t="s">
        <v>22</v>
      </c>
      <c r="C13" s="5" t="s">
        <v>5</v>
      </c>
    </row>
    <row r="14" spans="1:3">
      <c r="A14" s="6" t="s">
        <v>6</v>
      </c>
      <c r="B14" s="6" t="s">
        <v>31</v>
      </c>
      <c r="C14" s="7" t="s">
        <v>113</v>
      </c>
    </row>
    <row r="15" spans="1:3">
      <c r="A15" s="6" t="s">
        <v>9</v>
      </c>
      <c r="B15" s="6" t="s">
        <v>35</v>
      </c>
      <c r="C15" s="7" t="s">
        <v>114</v>
      </c>
    </row>
    <row r="16" spans="1:3" ht="30">
      <c r="A16" s="6" t="s">
        <v>12</v>
      </c>
      <c r="B16" s="6" t="s">
        <v>41</v>
      </c>
      <c r="C16" s="7" t="s">
        <v>115</v>
      </c>
    </row>
    <row r="17" spans="1:3">
      <c r="A17" s="6" t="s">
        <v>15</v>
      </c>
      <c r="B17" s="6" t="s">
        <v>43</v>
      </c>
      <c r="C17" s="7" t="s">
        <v>116</v>
      </c>
    </row>
    <row r="18" spans="1:3">
      <c r="A18" s="6" t="s">
        <v>18</v>
      </c>
      <c r="B18" s="6" t="s">
        <v>49</v>
      </c>
      <c r="C18" s="7" t="s">
        <v>117</v>
      </c>
    </row>
    <row r="19" spans="1:3">
      <c r="A19" s="6" t="s">
        <v>118</v>
      </c>
      <c r="B19" s="6" t="s">
        <v>10</v>
      </c>
      <c r="C19" s="7" t="s">
        <v>119</v>
      </c>
    </row>
    <row r="20" spans="1:3">
      <c r="A20" s="6" t="s">
        <v>120</v>
      </c>
      <c r="B20" s="6" t="s">
        <v>16</v>
      </c>
      <c r="C20" s="7" t="s">
        <v>121</v>
      </c>
    </row>
    <row r="21" spans="1:3">
      <c r="A21" s="6" t="s">
        <v>122</v>
      </c>
      <c r="B21" s="6" t="s">
        <v>123</v>
      </c>
      <c r="C21" s="7" t="s">
        <v>124</v>
      </c>
    </row>
    <row r="23" spans="1:3">
      <c r="A23" s="13" t="s">
        <v>125</v>
      </c>
    </row>
  </sheetData>
  <sheetProtection sheet="1" formatCells="0" formatColumns="0" formatRows="0"/>
  <dataValidations count="1">
    <dataValidation type="list" allowBlank="1" sqref="B10" xr:uid="{00000000-0002-0000-0100-000000000000}">
      <formula1>"Feet,Metres"</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F5D50"/>
  </sheetPr>
  <dimension ref="A1:C19"/>
  <sheetViews>
    <sheetView showGridLines="0" workbookViewId="0"/>
  </sheetViews>
  <sheetFormatPr defaultRowHeight="15"/>
  <cols>
    <col min="1" max="1" width="30" customWidth="1"/>
    <col min="2" max="2" width="22" customWidth="1"/>
    <col min="3" max="3" width="70" customWidth="1"/>
  </cols>
  <sheetData>
    <row r="1" spans="1:3" ht="19.5">
      <c r="A1" s="1" t="s">
        <v>126</v>
      </c>
    </row>
    <row r="2" spans="1:3">
      <c r="A2" s="2" t="s">
        <v>127</v>
      </c>
    </row>
    <row r="4" spans="1:3" ht="33.950000000000003" customHeight="1">
      <c r="A4" s="5" t="s">
        <v>128</v>
      </c>
      <c r="B4" s="5" t="s">
        <v>129</v>
      </c>
      <c r="C4" s="5" t="s">
        <v>130</v>
      </c>
    </row>
    <row r="5" spans="1:3">
      <c r="A5" s="9" t="s">
        <v>97</v>
      </c>
      <c r="B5" s="14" t="str">
        <f>'Quick Start'!B5</f>
        <v>My Home Project</v>
      </c>
      <c r="C5" s="8" t="s">
        <v>131</v>
      </c>
    </row>
    <row r="6" spans="1:3">
      <c r="A6" s="9" t="s">
        <v>100</v>
      </c>
      <c r="B6" s="14">
        <f>'Quick Start'!B6</f>
        <v>0</v>
      </c>
      <c r="C6" s="8" t="s">
        <v>132</v>
      </c>
    </row>
    <row r="7" spans="1:3">
      <c r="A7" s="9" t="s">
        <v>106</v>
      </c>
      <c r="B7" s="14" t="str">
        <f>'Quick Start'!B9</f>
        <v>Chennai</v>
      </c>
      <c r="C7" s="8" t="s">
        <v>108</v>
      </c>
    </row>
    <row r="8" spans="1:3">
      <c r="A8" s="9" t="s">
        <v>133</v>
      </c>
      <c r="B8" s="10" t="s">
        <v>134</v>
      </c>
      <c r="C8" s="8" t="s">
        <v>135</v>
      </c>
    </row>
    <row r="9" spans="1:3" ht="30">
      <c r="A9" s="9" t="s">
        <v>109</v>
      </c>
      <c r="B9" s="14" t="str">
        <f>'Quick Start'!B10</f>
        <v>Feet</v>
      </c>
      <c r="C9" s="8" t="s">
        <v>111</v>
      </c>
    </row>
    <row r="10" spans="1:3">
      <c r="A10" s="9" t="s">
        <v>102</v>
      </c>
      <c r="B10" s="15">
        <f>'Quick Start'!B7</f>
        <v>1500</v>
      </c>
      <c r="C10" s="8" t="s">
        <v>136</v>
      </c>
    </row>
    <row r="11" spans="1:3">
      <c r="A11" s="9" t="s">
        <v>104</v>
      </c>
      <c r="B11" s="16">
        <f>'Quick Start'!B8</f>
        <v>2500000</v>
      </c>
      <c r="C11" s="8" t="s">
        <v>105</v>
      </c>
    </row>
    <row r="12" spans="1:3">
      <c r="A12" s="9" t="s">
        <v>137</v>
      </c>
      <c r="B12" s="17">
        <v>0.1</v>
      </c>
      <c r="C12" s="8" t="s">
        <v>138</v>
      </c>
    </row>
    <row r="13" spans="1:3">
      <c r="A13" s="9" t="s">
        <v>139</v>
      </c>
      <c r="B13" s="17">
        <v>0</v>
      </c>
      <c r="C13" s="8" t="s">
        <v>140</v>
      </c>
    </row>
    <row r="14" spans="1:3">
      <c r="A14" s="9" t="s">
        <v>141</v>
      </c>
      <c r="B14" s="18">
        <v>46327</v>
      </c>
      <c r="C14" s="8" t="s">
        <v>142</v>
      </c>
    </row>
    <row r="16" spans="1:3">
      <c r="A16" s="3" t="s">
        <v>143</v>
      </c>
      <c r="B16" s="4"/>
      <c r="C16" s="4"/>
    </row>
    <row r="17" spans="1:2">
      <c r="A17" s="13" t="s">
        <v>144</v>
      </c>
      <c r="B17" s="19">
        <f>IF(B9="Metres",3.28084,1)</f>
        <v>1</v>
      </c>
    </row>
    <row r="18" spans="1:2">
      <c r="A18" s="13" t="s">
        <v>145</v>
      </c>
      <c r="B18" s="20">
        <f>IF(B9="Metres",10.7639,1)</f>
        <v>1</v>
      </c>
    </row>
    <row r="19" spans="1:2">
      <c r="A19" s="13" t="s">
        <v>146</v>
      </c>
      <c r="B19" s="21">
        <f>B10*B18</f>
        <v>1500</v>
      </c>
    </row>
  </sheetData>
  <sheetProtection sheet="1" formatCells="0" formatColumns="0" formatRows="0"/>
  <dataValidations count="1">
    <dataValidation type="list" allowBlank="1" sqref="B8" xr:uid="{00000000-0002-0000-0200-000000000000}">
      <formula1>"New build,Renovation,Interior only"</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F5D50"/>
  </sheetPr>
  <dimension ref="A1:F21"/>
  <sheetViews>
    <sheetView showGridLines="0" workbookViewId="0">
      <pane ySplit="5" topLeftCell="A6" activePane="bottomLeft" state="frozen"/>
      <selection pane="bottomLeft"/>
    </sheetView>
  </sheetViews>
  <sheetFormatPr defaultRowHeight="15"/>
  <cols>
    <col min="1" max="1" width="24" customWidth="1"/>
    <col min="2" max="3" width="16" customWidth="1"/>
    <col min="4" max="4" width="20" customWidth="1"/>
    <col min="5" max="5" width="18" customWidth="1"/>
    <col min="6" max="6" width="16" customWidth="1"/>
  </cols>
  <sheetData>
    <row r="1" spans="1:6" ht="19.5">
      <c r="A1" s="1" t="s">
        <v>147</v>
      </c>
    </row>
    <row r="2" spans="1:6">
      <c r="A2" s="2" t="s">
        <v>148</v>
      </c>
    </row>
    <row r="5" spans="1:6" ht="33.950000000000003" customHeight="1">
      <c r="A5" s="5" t="s">
        <v>149</v>
      </c>
      <c r="B5" s="5" t="str">
        <f>"Length ("&amp;IF(Setup!$B$9="Metres","m","ft")&amp;")"</f>
        <v>Length (ft)</v>
      </c>
      <c r="C5" s="5" t="str">
        <f>"Width ("&amp;IF(Setup!$B$9="Metres","m","ft")&amp;")"</f>
        <v>Width (ft)</v>
      </c>
      <c r="D5" s="5" t="s">
        <v>150</v>
      </c>
      <c r="E5" s="5" t="str">
        <f>"Area ("&amp;IF(Setup!$B$9="Metres","sq m","sq ft")&amp;")"</f>
        <v>Area (sq ft)</v>
      </c>
      <c r="F5" s="5" t="s">
        <v>151</v>
      </c>
    </row>
    <row r="6" spans="1:6">
      <c r="A6" s="10" t="s">
        <v>152</v>
      </c>
      <c r="B6" s="11">
        <v>16</v>
      </c>
      <c r="C6" s="11">
        <v>12</v>
      </c>
      <c r="D6" s="22">
        <v>1</v>
      </c>
      <c r="E6" s="23">
        <f>IF(OR(B6="",C6=""),0,B6*C6*IF(D6="",1,D6)*Setup!$B$18)</f>
        <v>192</v>
      </c>
      <c r="F6" s="23">
        <f t="shared" ref="F6:F17" si="0">E6/10.7639</f>
        <v>17.837400942037739</v>
      </c>
    </row>
    <row r="7" spans="1:6">
      <c r="A7" s="10" t="s">
        <v>153</v>
      </c>
      <c r="B7" s="11">
        <v>10</v>
      </c>
      <c r="C7" s="11">
        <v>10</v>
      </c>
      <c r="D7" s="22">
        <v>1</v>
      </c>
      <c r="E7" s="23">
        <f>IF(OR(B7="",C7=""),0,B7*C7*IF(D7="",1,D7)*Setup!$B$18)</f>
        <v>100</v>
      </c>
      <c r="F7" s="23">
        <f t="shared" si="0"/>
        <v>9.2903129906446544</v>
      </c>
    </row>
    <row r="8" spans="1:6">
      <c r="A8" s="10" t="s">
        <v>154</v>
      </c>
      <c r="B8" s="11">
        <v>10</v>
      </c>
      <c r="C8" s="11">
        <v>9</v>
      </c>
      <c r="D8" s="22">
        <v>1</v>
      </c>
      <c r="E8" s="23">
        <f>IF(OR(B8="",C8=""),0,B8*C8*IF(D8="",1,D8)*Setup!$B$18)</f>
        <v>90</v>
      </c>
      <c r="F8" s="23">
        <f t="shared" si="0"/>
        <v>8.3612816915801904</v>
      </c>
    </row>
    <row r="9" spans="1:6">
      <c r="A9" s="10" t="s">
        <v>155</v>
      </c>
      <c r="B9" s="11">
        <v>13</v>
      </c>
      <c r="C9" s="11">
        <v>12</v>
      </c>
      <c r="D9" s="22">
        <v>1</v>
      </c>
      <c r="E9" s="23">
        <f>IF(OR(B9="",C9=""),0,B9*C9*IF(D9="",1,D9)*Setup!$B$18)</f>
        <v>156</v>
      </c>
      <c r="F9" s="23">
        <f t="shared" si="0"/>
        <v>14.492888265405663</v>
      </c>
    </row>
    <row r="10" spans="1:6">
      <c r="A10" s="10" t="s">
        <v>156</v>
      </c>
      <c r="B10" s="11">
        <v>12</v>
      </c>
      <c r="C10" s="11">
        <v>11</v>
      </c>
      <c r="D10" s="22">
        <v>1</v>
      </c>
      <c r="E10" s="23">
        <f>IF(OR(B10="",C10=""),0,B10*C10*IF(D10="",1,D10)*Setup!$B$18)</f>
        <v>132</v>
      </c>
      <c r="F10" s="23">
        <f t="shared" si="0"/>
        <v>12.263213147650944</v>
      </c>
    </row>
    <row r="11" spans="1:6">
      <c r="A11" s="10" t="s">
        <v>157</v>
      </c>
      <c r="B11" s="11">
        <v>11</v>
      </c>
      <c r="C11" s="11">
        <v>10</v>
      </c>
      <c r="D11" s="22">
        <v>1</v>
      </c>
      <c r="E11" s="23">
        <f>IF(OR(B11="",C11=""),0,B11*C11*IF(D11="",1,D11)*Setup!$B$18)</f>
        <v>110</v>
      </c>
      <c r="F11" s="23">
        <f t="shared" si="0"/>
        <v>10.21934428970912</v>
      </c>
    </row>
    <row r="12" spans="1:6">
      <c r="A12" s="10" t="s">
        <v>158</v>
      </c>
      <c r="B12" s="11">
        <v>6</v>
      </c>
      <c r="C12" s="11">
        <v>5</v>
      </c>
      <c r="D12" s="22">
        <v>1</v>
      </c>
      <c r="E12" s="23">
        <f>IF(OR(B12="",C12=""),0,B12*C12*IF(D12="",1,D12)*Setup!$B$18)</f>
        <v>30</v>
      </c>
      <c r="F12" s="23">
        <f t="shared" si="0"/>
        <v>2.7870938971933965</v>
      </c>
    </row>
    <row r="13" spans="1:6">
      <c r="A13" s="10" t="s">
        <v>159</v>
      </c>
      <c r="B13" s="11">
        <v>6</v>
      </c>
      <c r="C13" s="11">
        <v>5</v>
      </c>
      <c r="D13" s="22">
        <v>1</v>
      </c>
      <c r="E13" s="23">
        <f>IF(OR(B13="",C13=""),0,B13*C13*IF(D13="",1,D13)*Setup!$B$18)</f>
        <v>30</v>
      </c>
      <c r="F13" s="23">
        <f t="shared" si="0"/>
        <v>2.7870938971933965</v>
      </c>
    </row>
    <row r="14" spans="1:6">
      <c r="A14" s="10" t="s">
        <v>160</v>
      </c>
      <c r="B14" s="11">
        <v>5</v>
      </c>
      <c r="C14" s="11">
        <v>6</v>
      </c>
      <c r="D14" s="22">
        <v>1</v>
      </c>
      <c r="E14" s="23">
        <f>IF(OR(B14="",C14=""),0,B14*C14*IF(D14="",1,D14)*Setup!$B$18)</f>
        <v>30</v>
      </c>
      <c r="F14" s="23">
        <f t="shared" si="0"/>
        <v>2.7870938971933965</v>
      </c>
    </row>
    <row r="15" spans="1:6">
      <c r="A15" s="10" t="s">
        <v>161</v>
      </c>
      <c r="B15" s="11">
        <v>8</v>
      </c>
      <c r="C15" s="11">
        <v>6</v>
      </c>
      <c r="D15" s="22">
        <v>1</v>
      </c>
      <c r="E15" s="23">
        <f>IF(OR(B15="",C15=""),0,B15*C15*IF(D15="",1,D15)*Setup!$B$18)</f>
        <v>48</v>
      </c>
      <c r="F15" s="23">
        <f t="shared" si="0"/>
        <v>4.4593502355094348</v>
      </c>
    </row>
    <row r="16" spans="1:6">
      <c r="A16" s="10" t="s">
        <v>162</v>
      </c>
      <c r="B16" s="11">
        <v>6</v>
      </c>
      <c r="C16" s="11">
        <v>6</v>
      </c>
      <c r="D16" s="22">
        <v>1</v>
      </c>
      <c r="E16" s="23">
        <f>IF(OR(B16="",C16=""),0,B16*C16*IF(D16="",1,D16)*Setup!$B$18)</f>
        <v>36</v>
      </c>
      <c r="F16" s="23">
        <f t="shared" si="0"/>
        <v>3.3445126766320761</v>
      </c>
    </row>
    <row r="17" spans="1:6">
      <c r="A17" s="10"/>
      <c r="B17" s="11"/>
      <c r="C17" s="11"/>
      <c r="D17" s="22"/>
      <c r="E17" s="23">
        <f>IF(OR(B17="",C17=""),0,B17*C17*IF(D17="",1,D17)*Setup!$B$18)</f>
        <v>0</v>
      </c>
      <c r="F17" s="23">
        <f t="shared" si="0"/>
        <v>0</v>
      </c>
    </row>
    <row r="18" spans="1:6">
      <c r="A18" s="9" t="s">
        <v>163</v>
      </c>
      <c r="E18" s="23">
        <f>SUM(E6:E17)</f>
        <v>954</v>
      </c>
      <c r="F18" s="23">
        <f>SUM(F6:F17)</f>
        <v>88.629585930750025</v>
      </c>
    </row>
    <row r="20" spans="1:6">
      <c r="A20" s="13" t="s">
        <v>164</v>
      </c>
    </row>
    <row r="21" spans="1:6">
      <c r="A21" s="13" t="s">
        <v>165</v>
      </c>
    </row>
  </sheetData>
  <sheetProtection sheet="1" formatCells="0" formatColumns="0" formatRows="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F5D50"/>
  </sheetPr>
  <dimension ref="A1:G25"/>
  <sheetViews>
    <sheetView showGridLines="0" workbookViewId="0"/>
  </sheetViews>
  <sheetFormatPr defaultRowHeight="15"/>
  <cols>
    <col min="1" max="1" width="44" customWidth="1"/>
    <col min="2" max="4" width="16" customWidth="1"/>
    <col min="5" max="5" width="12" customWidth="1"/>
    <col min="6" max="6" width="18" customWidth="1"/>
    <col min="7" max="7" width="16" customWidth="1"/>
  </cols>
  <sheetData>
    <row r="1" spans="1:7" ht="19.5">
      <c r="A1" s="1" t="s">
        <v>166</v>
      </c>
    </row>
    <row r="2" spans="1:7">
      <c r="A2" s="2" t="s">
        <v>167</v>
      </c>
    </row>
    <row r="5" spans="1:7" ht="33.950000000000003" customHeight="1">
      <c r="A5" s="5" t="s">
        <v>168</v>
      </c>
      <c r="B5" s="5" t="str">
        <f>"Length ("&amp;IF(Setup!$B$9="Metres","m","ft")&amp;")"</f>
        <v>Length (ft)</v>
      </c>
      <c r="C5" s="5" t="str">
        <f>"Width ("&amp;IF(Setup!$B$9="Metres","m","ft")&amp;")"</f>
        <v>Width (ft)</v>
      </c>
      <c r="D5" s="5" t="str">
        <f>"Depth ("&amp;IF(Setup!$B$9="Metres","m","ft")&amp;")"</f>
        <v>Depth (ft)</v>
      </c>
      <c r="E5" s="5" t="s">
        <v>169</v>
      </c>
      <c r="F5" s="5" t="s">
        <v>170</v>
      </c>
      <c r="G5" s="5" t="s">
        <v>171</v>
      </c>
    </row>
    <row r="6" spans="1:7">
      <c r="A6" s="10" t="s">
        <v>172</v>
      </c>
      <c r="B6" s="11">
        <v>160</v>
      </c>
      <c r="C6" s="11">
        <v>2</v>
      </c>
      <c r="D6" s="11">
        <v>3.5</v>
      </c>
      <c r="E6" s="22">
        <v>1</v>
      </c>
      <c r="F6" s="23">
        <f>IF(OR(B6="",C6="",D6=""),0,B6*C6*D6*IF(E6="",1,E6)*Setup!$B$17^3)</f>
        <v>1120</v>
      </c>
      <c r="G6" s="23">
        <f t="shared" ref="G6:G13" si="0">F6/35.3147</f>
        <v>31.714838296799915</v>
      </c>
    </row>
    <row r="7" spans="1:7">
      <c r="A7" s="10" t="s">
        <v>173</v>
      </c>
      <c r="B7" s="11">
        <v>120</v>
      </c>
      <c r="C7" s="11">
        <v>1.5</v>
      </c>
      <c r="D7" s="11">
        <v>3.5</v>
      </c>
      <c r="E7" s="22">
        <v>1</v>
      </c>
      <c r="F7" s="23">
        <f>IF(OR(B7="",C7="",D7=""),0,B7*C7*D7*IF(E7="",1,E7)*Setup!$B$17^3)</f>
        <v>630</v>
      </c>
      <c r="G7" s="23">
        <f t="shared" si="0"/>
        <v>17.839596541949952</v>
      </c>
    </row>
    <row r="8" spans="1:7">
      <c r="A8" s="10" t="s">
        <v>174</v>
      </c>
      <c r="B8" s="11">
        <v>8</v>
      </c>
      <c r="C8" s="11">
        <v>6</v>
      </c>
      <c r="D8" s="11">
        <v>6</v>
      </c>
      <c r="E8" s="22">
        <v>1</v>
      </c>
      <c r="F8" s="23">
        <f>IF(OR(B8="",C8="",D8=""),0,B8*C8*D8*IF(E8="",1,E8)*Setup!$B$17^3)</f>
        <v>288</v>
      </c>
      <c r="G8" s="23">
        <f t="shared" si="0"/>
        <v>8.1552441334628352</v>
      </c>
    </row>
    <row r="9" spans="1:7">
      <c r="A9" s="10"/>
      <c r="B9" s="11"/>
      <c r="C9" s="11"/>
      <c r="D9" s="11"/>
      <c r="E9" s="22"/>
      <c r="F9" s="23">
        <f>IF(OR(B9="",C9="",D9=""),0,B9*C9*D9*IF(E9="",1,E9)*Setup!$B$17^3)</f>
        <v>0</v>
      </c>
      <c r="G9" s="23">
        <f t="shared" si="0"/>
        <v>0</v>
      </c>
    </row>
    <row r="10" spans="1:7">
      <c r="A10" s="10"/>
      <c r="B10" s="11"/>
      <c r="C10" s="11"/>
      <c r="D10" s="11"/>
      <c r="E10" s="22"/>
      <c r="F10" s="23">
        <f>IF(OR(B10="",C10="",D10=""),0,B10*C10*D10*IF(E10="",1,E10)*Setup!$B$17^3)</f>
        <v>0</v>
      </c>
      <c r="G10" s="23">
        <f t="shared" si="0"/>
        <v>0</v>
      </c>
    </row>
    <row r="11" spans="1:7">
      <c r="A11" s="10"/>
      <c r="B11" s="11"/>
      <c r="C11" s="11"/>
      <c r="D11" s="11"/>
      <c r="E11" s="22"/>
      <c r="F11" s="23">
        <f>IF(OR(B11="",C11="",D11=""),0,B11*C11*D11*IF(E11="",1,E11)*Setup!$B$17^3)</f>
        <v>0</v>
      </c>
      <c r="G11" s="23">
        <f t="shared" si="0"/>
        <v>0</v>
      </c>
    </row>
    <row r="12" spans="1:7">
      <c r="A12" s="10"/>
      <c r="B12" s="11"/>
      <c r="C12" s="11"/>
      <c r="D12" s="11"/>
      <c r="E12" s="22"/>
      <c r="F12" s="23">
        <f>IF(OR(B12="",C12="",D12=""),0,B12*C12*D12*IF(E12="",1,E12)*Setup!$B$17^3)</f>
        <v>0</v>
      </c>
      <c r="G12" s="23">
        <f t="shared" si="0"/>
        <v>0</v>
      </c>
    </row>
    <row r="13" spans="1:7">
      <c r="A13" s="10"/>
      <c r="B13" s="11"/>
      <c r="C13" s="11"/>
      <c r="D13" s="11"/>
      <c r="E13" s="22"/>
      <c r="F13" s="23">
        <f>IF(OR(B13="",C13="",D13=""),0,B13*C13*D13*IF(E13="",1,E13)*Setup!$B$17^3)</f>
        <v>0</v>
      </c>
      <c r="G13" s="23">
        <f t="shared" si="0"/>
        <v>0</v>
      </c>
    </row>
    <row r="14" spans="1:7">
      <c r="A14" s="9" t="s">
        <v>175</v>
      </c>
      <c r="F14" s="23">
        <f>SUM(F6:F13)</f>
        <v>2038</v>
      </c>
      <c r="G14" s="23">
        <f>SUM(G6:G13)</f>
        <v>57.709678972212707</v>
      </c>
    </row>
    <row r="16" spans="1:7">
      <c r="A16" s="3" t="s">
        <v>176</v>
      </c>
      <c r="B16" s="4"/>
      <c r="C16" s="4"/>
      <c r="D16" s="4"/>
      <c r="E16" s="4"/>
      <c r="F16" s="4"/>
      <c r="G16" s="4"/>
    </row>
    <row r="17" spans="1:7">
      <c r="A17" s="13" t="s">
        <v>177</v>
      </c>
      <c r="B17" s="17">
        <v>0.1</v>
      </c>
    </row>
    <row r="18" spans="1:7">
      <c r="A18" s="9" t="s">
        <v>178</v>
      </c>
      <c r="B18" s="23">
        <f>F14*(1+B17)</f>
        <v>2241.8000000000002</v>
      </c>
    </row>
    <row r="19" spans="1:7">
      <c r="A19" s="9" t="s">
        <v>179</v>
      </c>
      <c r="B19" s="23">
        <f>B18/35.3147</f>
        <v>63.480646869433976</v>
      </c>
    </row>
    <row r="21" spans="1:7">
      <c r="A21" s="3" t="s">
        <v>180</v>
      </c>
      <c r="B21" s="4"/>
      <c r="C21" s="4"/>
      <c r="D21" s="4"/>
      <c r="E21" s="4"/>
      <c r="F21" s="4"/>
      <c r="G21" s="4"/>
    </row>
    <row r="22" spans="1:7">
      <c r="A22" s="9" t="s">
        <v>181</v>
      </c>
      <c r="B22" s="24">
        <f>B18*Rates!$C$16</f>
        <v>0</v>
      </c>
    </row>
    <row r="24" spans="1:7">
      <c r="A24" s="13" t="s">
        <v>182</v>
      </c>
    </row>
    <row r="25" spans="1:7">
      <c r="A25" s="13" t="s">
        <v>183</v>
      </c>
    </row>
  </sheetData>
  <sheetProtection sheet="1" formatCells="0" formatColumns="0" formatRows="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F5D50"/>
  </sheetPr>
  <dimension ref="A1:J48"/>
  <sheetViews>
    <sheetView showGridLines="0" workbookViewId="0">
      <pane ySplit="5" topLeftCell="A6" activePane="bottomLeft" state="frozen"/>
      <selection pane="bottomLeft"/>
    </sheetView>
  </sheetViews>
  <sheetFormatPr defaultRowHeight="15"/>
  <cols>
    <col min="1" max="1" width="30" customWidth="1"/>
    <col min="2" max="6" width="14" customWidth="1"/>
    <col min="7" max="7" width="22" customWidth="1"/>
    <col min="8" max="8" width="18" customWidth="1"/>
    <col min="9" max="9" width="26" customWidth="1"/>
    <col min="10" max="10" width="18" customWidth="1"/>
  </cols>
  <sheetData>
    <row r="1" spans="1:10" ht="19.5">
      <c r="A1" s="1" t="s">
        <v>184</v>
      </c>
    </row>
    <row r="2" spans="1:10">
      <c r="A2" s="2" t="s">
        <v>185</v>
      </c>
    </row>
    <row r="4" spans="1:10">
      <c r="A4" s="3" t="s">
        <v>186</v>
      </c>
      <c r="B4" s="4"/>
      <c r="C4" s="4"/>
      <c r="D4" s="4"/>
      <c r="E4" s="4"/>
      <c r="F4" s="4"/>
      <c r="G4" s="4"/>
      <c r="H4" s="4"/>
      <c r="I4" s="4"/>
    </row>
    <row r="5" spans="1:10" ht="33.950000000000003" customHeight="1">
      <c r="A5" s="5" t="s">
        <v>187</v>
      </c>
      <c r="B5" s="5" t="str">
        <f>"Length ("&amp;IF(Setup!$B$9="Metres","m","ft")&amp;")"</f>
        <v>Length (ft)</v>
      </c>
      <c r="C5" s="5" t="str">
        <f>"Width ("&amp;IF(Setup!$B$9="Metres","m","ft")&amp;")"</f>
        <v>Width (ft)</v>
      </c>
      <c r="D5" s="5" t="str">
        <f>"Height ("&amp;IF(Setup!$B$9="Metres","m","ft")&amp;")"</f>
        <v>Height (ft)</v>
      </c>
      <c r="E5" s="5" t="s">
        <v>188</v>
      </c>
      <c r="F5" s="5" t="s">
        <v>189</v>
      </c>
      <c r="G5" s="5" t="str">
        <f>"Net wall area to paint ("&amp;IF(Setup!$B$9="Metres","sq m","sq ft")&amp;")"</f>
        <v>Net wall area to paint (sq ft)</v>
      </c>
      <c r="H5" s="5" t="str">
        <f>"Floor area ("&amp;IF(Setup!$B$9="Metres","sq m","sq ft")&amp;")"</f>
        <v>Floor area (sq ft)</v>
      </c>
      <c r="I5" s="5" t="s">
        <v>190</v>
      </c>
      <c r="J5" s="5" t="s">
        <v>191</v>
      </c>
    </row>
    <row r="6" spans="1:10">
      <c r="A6" s="6" t="str">
        <f>IF('Room Area'!A6="","",'Room Area'!A6)</f>
        <v>Living room</v>
      </c>
      <c r="B6" s="23">
        <f>IF('Room Area'!B6="","",'Room Area'!B6)</f>
        <v>16</v>
      </c>
      <c r="C6" s="23">
        <f>IF('Room Area'!C6="","",'Room Area'!C6)</f>
        <v>12</v>
      </c>
      <c r="D6" s="11">
        <v>10</v>
      </c>
      <c r="E6" s="22">
        <v>1</v>
      </c>
      <c r="F6" s="22">
        <v>2</v>
      </c>
      <c r="G6" s="23">
        <f>IF(OR(B6="",C6="",D6=""),0,MAX(0,2*(B6+C6)*D6-(IF(E6="",0,E6)*$B$21*$B$22+IF(F6="",0,F6)*$B$23*$B$24))*Setup!$B$18*J6)</f>
        <v>507</v>
      </c>
      <c r="H6" s="23">
        <f>IF(OR(B6="",C6=""),0,B6*C6*Setup!$B$18*J6)</f>
        <v>192</v>
      </c>
      <c r="I6" s="10"/>
      <c r="J6" s="21">
        <f>IF('Room Area'!D6="",1,'Room Area'!D6)</f>
        <v>1</v>
      </c>
    </row>
    <row r="7" spans="1:10">
      <c r="A7" s="6" t="str">
        <f>IF('Room Area'!A7="","",'Room Area'!A7)</f>
        <v>Dining</v>
      </c>
      <c r="B7" s="23">
        <f>IF('Room Area'!B7="","",'Room Area'!B7)</f>
        <v>10</v>
      </c>
      <c r="C7" s="23">
        <f>IF('Room Area'!C7="","",'Room Area'!C7)</f>
        <v>10</v>
      </c>
      <c r="D7" s="11">
        <v>10</v>
      </c>
      <c r="E7" s="22">
        <v>0</v>
      </c>
      <c r="F7" s="22">
        <v>1</v>
      </c>
      <c r="G7" s="23">
        <f>IF(OR(B7="",C7="",D7=""),0,MAX(0,2*(B7+C7)*D7-(IF(E7="",0,E7)*$B$21*$B$22+IF(F7="",0,F7)*$B$23*$B$24))*Setup!$B$18*J7)</f>
        <v>384</v>
      </c>
      <c r="H7" s="23">
        <f>IF(OR(B7="",C7=""),0,B7*C7*Setup!$B$18*J7)</f>
        <v>100</v>
      </c>
      <c r="I7" s="10"/>
      <c r="J7" s="21">
        <f>IF('Room Area'!D7="",1,'Room Area'!D7)</f>
        <v>1</v>
      </c>
    </row>
    <row r="8" spans="1:10">
      <c r="A8" s="6" t="str">
        <f>IF('Room Area'!A8="","",'Room Area'!A8)</f>
        <v>Kitchen</v>
      </c>
      <c r="B8" s="23">
        <f>IF('Room Area'!B8="","",'Room Area'!B8)</f>
        <v>10</v>
      </c>
      <c r="C8" s="23">
        <f>IF('Room Area'!C8="","",'Room Area'!C8)</f>
        <v>9</v>
      </c>
      <c r="D8" s="11">
        <v>10</v>
      </c>
      <c r="E8" s="22">
        <v>1</v>
      </c>
      <c r="F8" s="22">
        <v>1</v>
      </c>
      <c r="G8" s="23">
        <f>IF(OR(B8="",C8="",D8=""),0,MAX(0,2*(B8+C8)*D8-(IF(E8="",0,E8)*$B$21*$B$22+IF(F8="",0,F8)*$B$23*$B$24))*Setup!$B$18*J8)</f>
        <v>343</v>
      </c>
      <c r="H8" s="23">
        <f>IF(OR(B8="",C8=""),0,B8*C8*Setup!$B$18*J8)</f>
        <v>90</v>
      </c>
      <c r="I8" s="10"/>
      <c r="J8" s="21">
        <f>IF('Room Area'!D8="",1,'Room Area'!D8)</f>
        <v>1</v>
      </c>
    </row>
    <row r="9" spans="1:10">
      <c r="A9" s="6" t="str">
        <f>IF('Room Area'!A9="","",'Room Area'!A9)</f>
        <v>Master bedroom</v>
      </c>
      <c r="B9" s="23">
        <f>IF('Room Area'!B9="","",'Room Area'!B9)</f>
        <v>13</v>
      </c>
      <c r="C9" s="23">
        <f>IF('Room Area'!C9="","",'Room Area'!C9)</f>
        <v>12</v>
      </c>
      <c r="D9" s="11">
        <v>10</v>
      </c>
      <c r="E9" s="22">
        <v>1</v>
      </c>
      <c r="F9" s="22">
        <v>1</v>
      </c>
      <c r="G9" s="23">
        <f>IF(OR(B9="",C9="",D9=""),0,MAX(0,2*(B9+C9)*D9-(IF(E9="",0,E9)*$B$21*$B$22+IF(F9="",0,F9)*$B$23*$B$24))*Setup!$B$18*J9)</f>
        <v>463</v>
      </c>
      <c r="H9" s="23">
        <f>IF(OR(B9="",C9=""),0,B9*C9*Setup!$B$18*J9)</f>
        <v>156</v>
      </c>
      <c r="I9" s="10"/>
      <c r="J9" s="21">
        <f>IF('Room Area'!D9="",1,'Room Area'!D9)</f>
        <v>1</v>
      </c>
    </row>
    <row r="10" spans="1:10">
      <c r="A10" s="6" t="str">
        <f>IF('Room Area'!A10="","",'Room Area'!A10)</f>
        <v>Bedroom 2</v>
      </c>
      <c r="B10" s="23">
        <f>IF('Room Area'!B10="","",'Room Area'!B10)</f>
        <v>12</v>
      </c>
      <c r="C10" s="23">
        <f>IF('Room Area'!C10="","",'Room Area'!C10)</f>
        <v>11</v>
      </c>
      <c r="D10" s="11">
        <v>10</v>
      </c>
      <c r="E10" s="22">
        <v>1</v>
      </c>
      <c r="F10" s="22">
        <v>1</v>
      </c>
      <c r="G10" s="23">
        <f>IF(OR(B10="",C10="",D10=""),0,MAX(0,2*(B10+C10)*D10-(IF(E10="",0,E10)*$B$21*$B$22+IF(F10="",0,F10)*$B$23*$B$24))*Setup!$B$18*J10)</f>
        <v>423</v>
      </c>
      <c r="H10" s="23">
        <f>IF(OR(B10="",C10=""),0,B10*C10*Setup!$B$18*J10)</f>
        <v>132</v>
      </c>
      <c r="I10" s="10"/>
      <c r="J10" s="21">
        <f>IF('Room Area'!D10="",1,'Room Area'!D10)</f>
        <v>1</v>
      </c>
    </row>
    <row r="11" spans="1:10">
      <c r="A11" s="6" t="str">
        <f>IF('Room Area'!A11="","",'Room Area'!A11)</f>
        <v>Bedroom 3</v>
      </c>
      <c r="B11" s="23">
        <f>IF('Room Area'!B11="","",'Room Area'!B11)</f>
        <v>11</v>
      </c>
      <c r="C11" s="23">
        <f>IF('Room Area'!C11="","",'Room Area'!C11)</f>
        <v>10</v>
      </c>
      <c r="D11" s="11">
        <v>10</v>
      </c>
      <c r="E11" s="22">
        <v>1</v>
      </c>
      <c r="F11" s="22">
        <v>1</v>
      </c>
      <c r="G11" s="23">
        <f>IF(OR(B11="",C11="",D11=""),0,MAX(0,2*(B11+C11)*D11-(IF(E11="",0,E11)*$B$21*$B$22+IF(F11="",0,F11)*$B$23*$B$24))*Setup!$B$18*J11)</f>
        <v>383</v>
      </c>
      <c r="H11" s="23">
        <f>IF(OR(B11="",C11=""),0,B11*C11*Setup!$B$18*J11)</f>
        <v>110</v>
      </c>
      <c r="I11" s="10"/>
      <c r="J11" s="21">
        <f>IF('Room Area'!D11="",1,'Room Area'!D11)</f>
        <v>1</v>
      </c>
    </row>
    <row r="12" spans="1:10">
      <c r="A12" s="6" t="str">
        <f>IF('Room Area'!A12="","",'Room Area'!A12)</f>
        <v>Attached toilet 1</v>
      </c>
      <c r="B12" s="23">
        <f>IF('Room Area'!B12="","",'Room Area'!B12)</f>
        <v>6</v>
      </c>
      <c r="C12" s="23">
        <f>IF('Room Area'!C12="","",'Room Area'!C12)</f>
        <v>5</v>
      </c>
      <c r="D12" s="11">
        <v>8</v>
      </c>
      <c r="E12" s="22">
        <v>1</v>
      </c>
      <c r="F12" s="22">
        <v>1</v>
      </c>
      <c r="G12" s="23">
        <f>IF(OR(B12="",C12="",D12=""),0,MAX(0,2*(B12+C12)*D12-(IF(E12="",0,E12)*$B$21*$B$22+IF(F12="",0,F12)*$B$23*$B$24))*Setup!$B$18*J12)</f>
        <v>139</v>
      </c>
      <c r="H12" s="23">
        <f>IF(OR(B12="",C12=""),0,B12*C12*Setup!$B$18*J12)</f>
        <v>30</v>
      </c>
      <c r="I12" s="10"/>
      <c r="J12" s="21">
        <f>IF('Room Area'!D12="",1,'Room Area'!D12)</f>
        <v>1</v>
      </c>
    </row>
    <row r="13" spans="1:10">
      <c r="A13" s="6" t="str">
        <f>IF('Room Area'!A13="","",'Room Area'!A13)</f>
        <v>Attached toilet 2</v>
      </c>
      <c r="B13" s="23">
        <f>IF('Room Area'!B13="","",'Room Area'!B13)</f>
        <v>6</v>
      </c>
      <c r="C13" s="23">
        <f>IF('Room Area'!C13="","",'Room Area'!C13)</f>
        <v>5</v>
      </c>
      <c r="D13" s="11">
        <v>8</v>
      </c>
      <c r="E13" s="22">
        <v>1</v>
      </c>
      <c r="F13" s="22">
        <v>0</v>
      </c>
      <c r="G13" s="23">
        <f>IF(OR(B13="",C13="",D13=""),0,MAX(0,2*(B13+C13)*D13-(IF(E13="",0,E13)*$B$21*$B$22+IF(F13="",0,F13)*$B$23*$B$24))*Setup!$B$18*J13)</f>
        <v>155</v>
      </c>
      <c r="H13" s="23">
        <f>IF(OR(B13="",C13=""),0,B13*C13*Setup!$B$18*J13)</f>
        <v>30</v>
      </c>
      <c r="I13" s="10"/>
      <c r="J13" s="21">
        <f>IF('Room Area'!D13="",1,'Room Area'!D13)</f>
        <v>1</v>
      </c>
    </row>
    <row r="14" spans="1:10">
      <c r="A14" s="6" t="str">
        <f>IF('Room Area'!A14="","",'Room Area'!A14)</f>
        <v>Common toilet</v>
      </c>
      <c r="B14" s="23">
        <f>IF('Room Area'!B14="","",'Room Area'!B14)</f>
        <v>5</v>
      </c>
      <c r="C14" s="23">
        <f>IF('Room Area'!C14="","",'Room Area'!C14)</f>
        <v>6</v>
      </c>
      <c r="D14" s="11">
        <v>8</v>
      </c>
      <c r="E14" s="22">
        <v>1</v>
      </c>
      <c r="F14" s="22">
        <v>0</v>
      </c>
      <c r="G14" s="23">
        <f>IF(OR(B14="",C14="",D14=""),0,MAX(0,2*(B14+C14)*D14-(IF(E14="",0,E14)*$B$21*$B$22+IF(F14="",0,F14)*$B$23*$B$24))*Setup!$B$18*J14)</f>
        <v>155</v>
      </c>
      <c r="H14" s="23">
        <f>IF(OR(B14="",C14=""),0,B14*C14*Setup!$B$18*J14)</f>
        <v>30</v>
      </c>
      <c r="I14" s="10"/>
      <c r="J14" s="21">
        <f>IF('Room Area'!D14="",1,'Room Area'!D14)</f>
        <v>1</v>
      </c>
    </row>
    <row r="15" spans="1:10">
      <c r="A15" s="6" t="str">
        <f>IF('Room Area'!A15="","",'Room Area'!A15)</f>
        <v>Passage / utility</v>
      </c>
      <c r="B15" s="23">
        <f>IF('Room Area'!B15="","",'Room Area'!B15)</f>
        <v>8</v>
      </c>
      <c r="C15" s="23">
        <f>IF('Room Area'!C15="","",'Room Area'!C15)</f>
        <v>6</v>
      </c>
      <c r="D15" s="11">
        <v>10</v>
      </c>
      <c r="E15" s="22">
        <v>0</v>
      </c>
      <c r="F15" s="22">
        <v>0</v>
      </c>
      <c r="G15" s="23">
        <f>IF(OR(B15="",C15="",D15=""),0,MAX(0,2*(B15+C15)*D15-(IF(E15="",0,E15)*$B$21*$B$22+IF(F15="",0,F15)*$B$23*$B$24))*Setup!$B$18*J15)</f>
        <v>280</v>
      </c>
      <c r="H15" s="23">
        <f>IF(OR(B15="",C15=""),0,B15*C15*Setup!$B$18*J15)</f>
        <v>48</v>
      </c>
      <c r="I15" s="10"/>
      <c r="J15" s="21">
        <f>IF('Room Area'!D15="",1,'Room Area'!D15)</f>
        <v>1</v>
      </c>
    </row>
    <row r="16" spans="1:10">
      <c r="A16" s="6" t="str">
        <f>IF('Room Area'!A16="","",'Room Area'!A16)</f>
        <v>Foyer</v>
      </c>
      <c r="B16" s="23">
        <f>IF('Room Area'!B16="","",'Room Area'!B16)</f>
        <v>6</v>
      </c>
      <c r="C16" s="23">
        <f>IF('Room Area'!C16="","",'Room Area'!C16)</f>
        <v>6</v>
      </c>
      <c r="D16" s="11">
        <v>10</v>
      </c>
      <c r="E16" s="22">
        <v>0</v>
      </c>
      <c r="F16" s="22">
        <v>0</v>
      </c>
      <c r="G16" s="23">
        <f>IF(OR(B16="",C16="",D16=""),0,MAX(0,2*(B16+C16)*D16-(IF(E16="",0,E16)*$B$21*$B$22+IF(F16="",0,F16)*$B$23*$B$24))*Setup!$B$18*J16)</f>
        <v>240</v>
      </c>
      <c r="H16" s="23">
        <f>IF(OR(B16="",C16=""),0,B16*C16*Setup!$B$18*J16)</f>
        <v>36</v>
      </c>
      <c r="I16" s="10"/>
      <c r="J16" s="21">
        <f>IF('Room Area'!D16="",1,'Room Area'!D16)</f>
        <v>1</v>
      </c>
    </row>
    <row r="17" spans="1:10">
      <c r="A17" s="6" t="str">
        <f>IF('Room Area'!A17="","",'Room Area'!A17)</f>
        <v/>
      </c>
      <c r="B17" s="23" t="str">
        <f>IF('Room Area'!B17="","",'Room Area'!B17)</f>
        <v/>
      </c>
      <c r="C17" s="23" t="str">
        <f>IF('Room Area'!C17="","",'Room Area'!C17)</f>
        <v/>
      </c>
      <c r="D17" s="11"/>
      <c r="E17" s="22"/>
      <c r="F17" s="22"/>
      <c r="G17" s="23">
        <f>IF(OR(B17="",C17="",D17=""),0,MAX(0,2*(B17+C17)*D17-(IF(E17="",0,E17)*$B$21*$B$22+IF(F17="",0,F17)*$B$23*$B$24))*Setup!$B$18*J17)</f>
        <v>0</v>
      </c>
      <c r="H17" s="23">
        <f>IF(OR(B17="",C17=""),0,B17*C17*Setup!$B$18*J17)</f>
        <v>0</v>
      </c>
      <c r="I17" s="10"/>
      <c r="J17" s="21">
        <f>IF('Room Area'!D17="",1,'Room Area'!D17)</f>
        <v>1</v>
      </c>
    </row>
    <row r="18" spans="1:10">
      <c r="A18" s="9" t="s">
        <v>163</v>
      </c>
      <c r="G18" s="23">
        <f>SUM(G6:G17)</f>
        <v>3472</v>
      </c>
      <c r="H18" s="23">
        <f>SUM(H6:H17)</f>
        <v>954</v>
      </c>
    </row>
    <row r="20" spans="1:10">
      <c r="A20" s="3" t="s">
        <v>192</v>
      </c>
      <c r="B20" s="4"/>
      <c r="C20" s="4"/>
      <c r="D20" s="4"/>
      <c r="E20" s="4"/>
      <c r="F20" s="4"/>
      <c r="G20" s="4"/>
      <c r="H20" s="4"/>
      <c r="I20" s="4"/>
    </row>
    <row r="21" spans="1:10">
      <c r="A21" s="13" t="str">
        <f>"Door width ("&amp;IF(Setup!$B$9="Metres","m","ft")&amp;")"</f>
        <v>Door width (ft)</v>
      </c>
      <c r="B21" s="11">
        <v>3</v>
      </c>
    </row>
    <row r="22" spans="1:10">
      <c r="A22" s="13" t="str">
        <f>"Door height ("&amp;IF(Setup!$B$9="Metres","m","ft")&amp;")"</f>
        <v>Door height (ft)</v>
      </c>
      <c r="B22" s="11">
        <v>7</v>
      </c>
    </row>
    <row r="23" spans="1:10">
      <c r="A23" s="13" t="str">
        <f>"Window width ("&amp;IF(Setup!$B$9="Metres","m","ft")&amp;")"</f>
        <v>Window width (ft)</v>
      </c>
      <c r="B23" s="11">
        <v>4</v>
      </c>
    </row>
    <row r="24" spans="1:10">
      <c r="A24" s="13" t="str">
        <f>"Window height ("&amp;IF(Setup!$B$9="Metres","m","ft")&amp;")"</f>
        <v>Window height (ft)</v>
      </c>
      <c r="B24" s="11">
        <v>4</v>
      </c>
    </row>
    <row r="26" spans="1:10">
      <c r="A26" s="3" t="s">
        <v>193</v>
      </c>
      <c r="B26" s="4"/>
      <c r="C26" s="4"/>
      <c r="D26" s="4"/>
      <c r="E26" s="4"/>
      <c r="F26" s="4"/>
      <c r="G26" s="4"/>
      <c r="H26" s="4"/>
      <c r="I26" s="4"/>
    </row>
    <row r="27" spans="1:10">
      <c r="A27" s="13" t="s">
        <v>194</v>
      </c>
      <c r="B27" s="22">
        <v>2</v>
      </c>
    </row>
    <row r="28" spans="1:10">
      <c r="A28" s="13" t="s">
        <v>195</v>
      </c>
      <c r="B28" s="22">
        <v>100</v>
      </c>
    </row>
    <row r="29" spans="1:10">
      <c r="A29" s="13" t="s">
        <v>196</v>
      </c>
      <c r="B29" s="17">
        <v>0.1</v>
      </c>
    </row>
    <row r="31" spans="1:10">
      <c r="A31" s="3" t="s">
        <v>197</v>
      </c>
      <c r="B31" s="4"/>
      <c r="C31" s="4"/>
      <c r="D31" s="4"/>
      <c r="E31" s="4"/>
      <c r="F31" s="4"/>
      <c r="G31" s="4"/>
      <c r="H31" s="4"/>
      <c r="I31" s="4"/>
    </row>
    <row r="32" spans="1:10">
      <c r="A32" s="13" t="s">
        <v>198</v>
      </c>
      <c r="B32" s="22">
        <v>600</v>
      </c>
    </row>
    <row r="33" spans="1:9">
      <c r="A33" s="13" t="s">
        <v>199</v>
      </c>
      <c r="B33" s="22">
        <v>600</v>
      </c>
    </row>
    <row r="34" spans="1:9">
      <c r="A34" s="13" t="s">
        <v>200</v>
      </c>
      <c r="B34" s="17">
        <v>0.1</v>
      </c>
    </row>
    <row r="36" spans="1:9">
      <c r="A36" s="3" t="s">
        <v>201</v>
      </c>
      <c r="B36" s="4"/>
      <c r="C36" s="4"/>
      <c r="D36" s="4"/>
      <c r="E36" s="4"/>
      <c r="F36" s="4"/>
      <c r="G36" s="4"/>
      <c r="H36" s="4"/>
      <c r="I36" s="4"/>
    </row>
    <row r="37" spans="1:9">
      <c r="A37" s="13" t="s">
        <v>202</v>
      </c>
      <c r="B37" s="23">
        <f>G18</f>
        <v>3472</v>
      </c>
    </row>
    <row r="38" spans="1:9">
      <c r="A38" s="9" t="s">
        <v>203</v>
      </c>
      <c r="B38" s="21">
        <f>IF(B37=0,0,ROUNDUP(B37*B27/B28*(1+B29),0))</f>
        <v>77</v>
      </c>
    </row>
    <row r="39" spans="1:9">
      <c r="A39" s="9" t="s">
        <v>204</v>
      </c>
      <c r="B39" s="24">
        <f>B38*Rates!$C$12</f>
        <v>0</v>
      </c>
    </row>
    <row r="40" spans="1:9">
      <c r="A40" s="13" t="s">
        <v>205</v>
      </c>
      <c r="B40" s="23">
        <f>H18</f>
        <v>954</v>
      </c>
    </row>
    <row r="41" spans="1:9">
      <c r="A41" s="9" t="s">
        <v>206</v>
      </c>
      <c r="B41" s="21">
        <f>IF(B40=0,0,ROUNDUP(B40*(1+B34)/((B32/304.8)*(B33/304.8)),0))</f>
        <v>271</v>
      </c>
    </row>
    <row r="42" spans="1:9">
      <c r="A42" s="9" t="s">
        <v>207</v>
      </c>
      <c r="B42" s="24">
        <f>B40*(1+B34)*Rates!$C$13</f>
        <v>0</v>
      </c>
    </row>
    <row r="44" spans="1:9">
      <c r="A44" s="13" t="s">
        <v>208</v>
      </c>
    </row>
    <row r="46" spans="1:9">
      <c r="A46" s="3" t="s">
        <v>209</v>
      </c>
      <c r="B46" s="4"/>
      <c r="C46" s="4"/>
      <c r="D46" s="4"/>
      <c r="E46" s="4"/>
      <c r="F46" s="4"/>
      <c r="G46" s="4"/>
      <c r="H46" s="4"/>
      <c r="I46" s="4"/>
    </row>
    <row r="47" spans="1:9">
      <c r="A47" s="13" t="s">
        <v>210</v>
      </c>
      <c r="B47" s="23">
        <f>SUMPRODUCT(F6:F17,J6:J17)*B23*B24*Setup!$B$18</f>
        <v>128</v>
      </c>
    </row>
    <row r="48" spans="1:9">
      <c r="A48" s="13" t="s">
        <v>211</v>
      </c>
      <c r="B48" s="23">
        <f>SUMPRODUCT(E6:E17,J6:J17)*B21*B22*Setup!$B$18</f>
        <v>168</v>
      </c>
    </row>
  </sheetData>
  <sheetProtection sheet="1" formatCells="0" formatColumns="0" formatRows="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F5D50"/>
  </sheetPr>
  <dimension ref="A1:C26"/>
  <sheetViews>
    <sheetView showGridLines="0" workbookViewId="0"/>
  </sheetViews>
  <sheetFormatPr defaultRowHeight="15"/>
  <cols>
    <col min="1" max="1" width="46" customWidth="1"/>
    <col min="2" max="2" width="18" customWidth="1"/>
    <col min="3" max="3" width="14" customWidth="1"/>
  </cols>
  <sheetData>
    <row r="1" spans="1:3" ht="19.5">
      <c r="A1" s="1" t="s">
        <v>212</v>
      </c>
    </row>
    <row r="2" spans="1:3">
      <c r="A2" s="2" t="s">
        <v>213</v>
      </c>
    </row>
    <row r="4" spans="1:3">
      <c r="A4" s="3" t="s">
        <v>214</v>
      </c>
      <c r="B4" s="4"/>
      <c r="C4" s="4"/>
    </row>
    <row r="5" spans="1:3">
      <c r="A5" s="13" t="str">
        <f>"Building perimeter (outside wall length) ("&amp;IF(Setup!$B$9="Metres","m","ft")&amp;")"</f>
        <v>Building perimeter (outside wall length) (ft)</v>
      </c>
      <c r="B5" s="11"/>
    </row>
    <row r="6" spans="1:3">
      <c r="A6" s="13" t="str">
        <f>"Outside wall height ("&amp;IF(Setup!$B$9="Metres","m","ft")&amp;")"</f>
        <v>Outside wall height (ft)</v>
      </c>
      <c r="B6" s="11"/>
    </row>
    <row r="7" spans="1:3">
      <c r="A7" s="13" t="str">
        <f>"Less doors and windows on outside walls ("&amp;IF(Setup!$B$9="Metres","sq m","sq ft")&amp;")"</f>
        <v>Less doors and windows on outside walls (sq ft)</v>
      </c>
      <c r="B7" s="11"/>
    </row>
    <row r="8" spans="1:3">
      <c r="A8" s="13" t="str">
        <f>"External wall area to paint ("&amp;IF(Setup!$B$9="Metres","sq m","sq ft")&amp;")"</f>
        <v>External wall area to paint (sq ft)</v>
      </c>
      <c r="B8" s="23">
        <f>IF(OR(B5="",B6=""),0,MAX(0,B5*B6-IF(B7="",0,B7))*Setup!$B$18)</f>
        <v>0</v>
      </c>
    </row>
    <row r="9" spans="1:3">
      <c r="A9" s="13" t="s">
        <v>194</v>
      </c>
      <c r="B9" s="22">
        <v>2</v>
      </c>
    </row>
    <row r="10" spans="1:3">
      <c r="A10" s="13" t="s">
        <v>195</v>
      </c>
      <c r="B10" s="21">
        <f>'Paint &amp; Tiles'!B28</f>
        <v>100</v>
      </c>
    </row>
    <row r="11" spans="1:3">
      <c r="A11" s="13" t="s">
        <v>196</v>
      </c>
      <c r="B11" s="25">
        <f>'Paint &amp; Tiles'!B29</f>
        <v>0.1</v>
      </c>
    </row>
    <row r="12" spans="1:3">
      <c r="A12" s="9" t="s">
        <v>215</v>
      </c>
      <c r="B12" s="21">
        <f>IF(B8=0,0,ROUNDUP(B8*B9/B10*(1+B11),0))</f>
        <v>0</v>
      </c>
    </row>
    <row r="13" spans="1:3">
      <c r="A13" s="9" t="s">
        <v>216</v>
      </c>
      <c r="B13" s="24">
        <f>B12*Rates!$C$17</f>
        <v>0</v>
      </c>
    </row>
    <row r="14" spans="1:3">
      <c r="A14" s="9" t="s">
        <v>217</v>
      </c>
      <c r="B14" s="24">
        <f>B8*Rates!$C$20</f>
        <v>0</v>
      </c>
    </row>
    <row r="16" spans="1:3">
      <c r="A16" s="3" t="s">
        <v>218</v>
      </c>
      <c r="B16" s="4"/>
      <c r="C16" s="4"/>
    </row>
    <row r="17" spans="1:3">
      <c r="A17" s="13" t="str">
        <f>"Roof area (plan area of a flat roof) ("&amp;IF(Setup!$B$9="Metres","sq m","sq ft")&amp;")"</f>
        <v>Roof area (plan area of a flat roof) (sq ft)</v>
      </c>
      <c r="B17" s="11"/>
    </row>
    <row r="18" spans="1:3">
      <c r="A18" s="9" t="s">
        <v>219</v>
      </c>
      <c r="B18" s="24">
        <f>B17*Setup!$B$18*Rates!$C$18</f>
        <v>0</v>
      </c>
    </row>
    <row r="20" spans="1:3">
      <c r="A20" s="3" t="s">
        <v>163</v>
      </c>
      <c r="B20" s="4"/>
      <c r="C20" s="4"/>
    </row>
    <row r="21" spans="1:3">
      <c r="A21" s="9" t="s">
        <v>220</v>
      </c>
      <c r="B21" s="24">
        <f>B13+B14+B18</f>
        <v>0</v>
      </c>
    </row>
    <row r="23" spans="1:3">
      <c r="A23" s="13" t="s">
        <v>221</v>
      </c>
    </row>
    <row r="24" spans="1:3">
      <c r="A24" s="13" t="s">
        <v>222</v>
      </c>
    </row>
    <row r="25" spans="1:3">
      <c r="A25" s="13" t="s">
        <v>223</v>
      </c>
    </row>
    <row r="26" spans="1:3">
      <c r="A26" s="13" t="s">
        <v>224</v>
      </c>
    </row>
  </sheetData>
  <sheetProtection sheet="1" formatCells="0" formatColumns="0" formatRows="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F5D50"/>
  </sheetPr>
  <dimension ref="A1:G34"/>
  <sheetViews>
    <sheetView showGridLines="0" workbookViewId="0"/>
  </sheetViews>
  <sheetFormatPr defaultRowHeight="15"/>
  <cols>
    <col min="1" max="1" width="32" customWidth="1"/>
    <col min="2" max="3" width="16" customWidth="1"/>
    <col min="4" max="4" width="18" customWidth="1"/>
    <col min="5" max="5" width="12" customWidth="1"/>
    <col min="6" max="7" width="16" customWidth="1"/>
  </cols>
  <sheetData>
    <row r="1" spans="1:7" ht="19.5">
      <c r="A1" s="1" t="s">
        <v>225</v>
      </c>
    </row>
    <row r="2" spans="1:7">
      <c r="A2" s="2" t="s">
        <v>226</v>
      </c>
    </row>
    <row r="5" spans="1:7" ht="33.950000000000003" customHeight="1">
      <c r="A5" s="5" t="s">
        <v>168</v>
      </c>
      <c r="B5" s="5" t="str">
        <f>"Length ("&amp;IF(Setup!$B$9="Metres","m","ft")&amp;")"</f>
        <v>Length (ft)</v>
      </c>
      <c r="C5" s="5" t="str">
        <f>"Width ("&amp;IF(Setup!$B$9="Metres","m","ft")&amp;")"</f>
        <v>Width (ft)</v>
      </c>
      <c r="D5" s="5" t="str">
        <f>"Depth / height ("&amp;IF(Setup!$B$9="Metres","m","ft")&amp;")"</f>
        <v>Depth / height (ft)</v>
      </c>
      <c r="E5" s="5" t="s">
        <v>169</v>
      </c>
      <c r="F5" s="5" t="s">
        <v>170</v>
      </c>
      <c r="G5" s="5" t="s">
        <v>171</v>
      </c>
    </row>
    <row r="6" spans="1:7">
      <c r="A6" s="10" t="s">
        <v>227</v>
      </c>
      <c r="B6" s="11">
        <v>30</v>
      </c>
      <c r="C6" s="11">
        <v>25</v>
      </c>
      <c r="D6" s="11">
        <v>0.5</v>
      </c>
      <c r="E6" s="22">
        <v>1</v>
      </c>
      <c r="F6" s="23">
        <f>IF(OR(B6="",C6="",D6=""),0,B6*C6*D6*IF(E6="",1,E6)*Setup!$B$17^3)</f>
        <v>375</v>
      </c>
      <c r="G6" s="23">
        <f t="shared" ref="G6:G13" si="0">F6/35.3147</f>
        <v>10.6188074654464</v>
      </c>
    </row>
    <row r="7" spans="1:7">
      <c r="A7" s="10" t="s">
        <v>228</v>
      </c>
      <c r="B7" s="11">
        <v>10</v>
      </c>
      <c r="C7" s="11">
        <v>1</v>
      </c>
      <c r="D7" s="11">
        <v>1.5</v>
      </c>
      <c r="E7" s="22">
        <v>10</v>
      </c>
      <c r="F7" s="23">
        <f>IF(OR(B7="",C7="",D7=""),0,B7*C7*D7*IF(E7="",1,E7)*Setup!$B$17^3)</f>
        <v>150</v>
      </c>
      <c r="G7" s="23">
        <f t="shared" si="0"/>
        <v>4.2475229861785602</v>
      </c>
    </row>
    <row r="8" spans="1:7">
      <c r="A8" s="10" t="s">
        <v>229</v>
      </c>
      <c r="B8" s="11">
        <v>1</v>
      </c>
      <c r="C8" s="11">
        <v>1</v>
      </c>
      <c r="D8" s="11">
        <v>10</v>
      </c>
      <c r="E8" s="22">
        <v>12</v>
      </c>
      <c r="F8" s="23">
        <f>IF(OR(B8="",C8="",D8=""),0,B8*C8*D8*IF(E8="",1,E8)*Setup!$B$17^3)</f>
        <v>120</v>
      </c>
      <c r="G8" s="23">
        <f t="shared" si="0"/>
        <v>3.3980183889428481</v>
      </c>
    </row>
    <row r="9" spans="1:7">
      <c r="A9" s="10" t="s">
        <v>230</v>
      </c>
      <c r="B9" s="11">
        <v>5</v>
      </c>
      <c r="C9" s="11">
        <v>5</v>
      </c>
      <c r="D9" s="11">
        <v>1.5</v>
      </c>
      <c r="E9" s="22">
        <v>8</v>
      </c>
      <c r="F9" s="23">
        <f>IF(OR(B9="",C9="",D9=""),0,B9*C9*D9*IF(E9="",1,E9)*Setup!$B$17^3)</f>
        <v>300</v>
      </c>
      <c r="G9" s="23">
        <f t="shared" si="0"/>
        <v>8.4950459723571203</v>
      </c>
    </row>
    <row r="10" spans="1:7">
      <c r="A10" s="10"/>
      <c r="B10" s="11"/>
      <c r="C10" s="11"/>
      <c r="D10" s="11"/>
      <c r="E10" s="22"/>
      <c r="F10" s="23">
        <f>IF(OR(B10="",C10="",D10=""),0,B10*C10*D10*IF(E10="",1,E10)*Setup!$B$17^3)</f>
        <v>0</v>
      </c>
      <c r="G10" s="23">
        <f t="shared" si="0"/>
        <v>0</v>
      </c>
    </row>
    <row r="11" spans="1:7">
      <c r="A11" s="10"/>
      <c r="B11" s="11"/>
      <c r="C11" s="11"/>
      <c r="D11" s="11"/>
      <c r="E11" s="22"/>
      <c r="F11" s="23">
        <f>IF(OR(B11="",C11="",D11=""),0,B11*C11*D11*IF(E11="",1,E11)*Setup!$B$17^3)</f>
        <v>0</v>
      </c>
      <c r="G11" s="23">
        <f t="shared" si="0"/>
        <v>0</v>
      </c>
    </row>
    <row r="12" spans="1:7">
      <c r="A12" s="10"/>
      <c r="B12" s="11"/>
      <c r="C12" s="11"/>
      <c r="D12" s="11"/>
      <c r="E12" s="22"/>
      <c r="F12" s="23">
        <f>IF(OR(B12="",C12="",D12=""),0,B12*C12*D12*IF(E12="",1,E12)*Setup!$B$17^3)</f>
        <v>0</v>
      </c>
      <c r="G12" s="23">
        <f t="shared" si="0"/>
        <v>0</v>
      </c>
    </row>
    <row r="13" spans="1:7">
      <c r="A13" s="10"/>
      <c r="B13" s="11"/>
      <c r="C13" s="11"/>
      <c r="D13" s="11"/>
      <c r="E13" s="22"/>
      <c r="F13" s="23">
        <f>IF(OR(B13="",C13="",D13=""),0,B13*C13*D13*IF(E13="",1,E13)*Setup!$B$17^3)</f>
        <v>0</v>
      </c>
      <c r="G13" s="23">
        <f t="shared" si="0"/>
        <v>0</v>
      </c>
    </row>
    <row r="14" spans="1:7">
      <c r="A14" s="9" t="s">
        <v>231</v>
      </c>
      <c r="F14" s="23">
        <f>SUM(F6:F13)</f>
        <v>945</v>
      </c>
      <c r="G14" s="23">
        <f>SUM(G6:G13)</f>
        <v>26.759394812924931</v>
      </c>
    </row>
    <row r="16" spans="1:7">
      <c r="A16" s="3" t="s">
        <v>232</v>
      </c>
      <c r="B16" s="4"/>
      <c r="C16" s="4"/>
      <c r="D16" s="4"/>
      <c r="E16" s="4"/>
      <c r="F16" s="4"/>
      <c r="G16" s="4"/>
    </row>
    <row r="17" spans="1:7">
      <c r="A17" s="13" t="s">
        <v>233</v>
      </c>
      <c r="B17" s="22">
        <v>1</v>
      </c>
      <c r="C17" s="13" t="s">
        <v>234</v>
      </c>
    </row>
    <row r="18" spans="1:7">
      <c r="A18" s="13" t="s">
        <v>235</v>
      </c>
      <c r="B18" s="22">
        <v>2</v>
      </c>
    </row>
    <row r="19" spans="1:7">
      <c r="A19" s="13" t="s">
        <v>236</v>
      </c>
      <c r="B19" s="22">
        <v>4</v>
      </c>
    </row>
    <row r="20" spans="1:7">
      <c r="A20" s="13" t="s">
        <v>237</v>
      </c>
      <c r="B20" s="26">
        <v>1.54</v>
      </c>
    </row>
    <row r="21" spans="1:7">
      <c r="A21" s="13" t="s">
        <v>238</v>
      </c>
      <c r="B21" s="23">
        <f>F14*B20</f>
        <v>1455.3</v>
      </c>
    </row>
    <row r="22" spans="1:7">
      <c r="A22" s="13" t="s">
        <v>239</v>
      </c>
      <c r="B22" s="21">
        <f>SUM(B17:B19)</f>
        <v>7</v>
      </c>
    </row>
    <row r="24" spans="1:7">
      <c r="A24" s="3" t="s">
        <v>240</v>
      </c>
      <c r="B24" s="4"/>
      <c r="C24" s="4"/>
      <c r="D24" s="4"/>
      <c r="E24" s="4"/>
      <c r="F24" s="4"/>
      <c r="G24" s="4"/>
    </row>
    <row r="25" spans="1:7">
      <c r="A25" s="9" t="s">
        <v>241</v>
      </c>
      <c r="B25" s="21">
        <f>IF(B22=0,0,ROUNDUP(B21*B17/B22/Assumptions!$B$11,0))</f>
        <v>167</v>
      </c>
    </row>
    <row r="26" spans="1:7">
      <c r="A26" s="9" t="s">
        <v>242</v>
      </c>
      <c r="B26" s="23">
        <f>IF(B22=0,0,B21*B18/B22)</f>
        <v>415.8</v>
      </c>
    </row>
    <row r="27" spans="1:7">
      <c r="A27" s="9" t="s">
        <v>243</v>
      </c>
      <c r="B27" s="23">
        <f>IF(B22=0,0,B21*B19/B22)</f>
        <v>831.6</v>
      </c>
    </row>
    <row r="29" spans="1:7">
      <c r="A29" s="3" t="s">
        <v>180</v>
      </c>
      <c r="B29" s="4"/>
      <c r="C29" s="4"/>
      <c r="D29" s="4"/>
      <c r="E29" s="4"/>
      <c r="F29" s="4"/>
      <c r="G29" s="4"/>
    </row>
    <row r="30" spans="1:7">
      <c r="A30" s="13" t="s">
        <v>244</v>
      </c>
      <c r="B30" s="24">
        <f>B25*Rates!$C$6</f>
        <v>0</v>
      </c>
    </row>
    <row r="31" spans="1:7">
      <c r="A31" s="13" t="s">
        <v>245</v>
      </c>
      <c r="B31" s="24">
        <f>B26*Rates!$C$7</f>
        <v>0</v>
      </c>
    </row>
    <row r="32" spans="1:7">
      <c r="A32" s="13" t="s">
        <v>246</v>
      </c>
      <c r="B32" s="24">
        <f>B27*Rates!$C$8</f>
        <v>0</v>
      </c>
    </row>
    <row r="33" spans="1:2">
      <c r="A33" s="13" t="s">
        <v>247</v>
      </c>
      <c r="B33" s="24">
        <f>F14*Rates!$C$14</f>
        <v>0</v>
      </c>
    </row>
    <row r="34" spans="1:2">
      <c r="A34" s="9" t="s">
        <v>248</v>
      </c>
      <c r="B34" s="24">
        <f>SUM(B30:B33)</f>
        <v>0</v>
      </c>
    </row>
  </sheetData>
  <sheetProtection sheet="1" formatCells="0" formatColumns="0" formatRows="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F5D50"/>
  </sheetPr>
  <dimension ref="A1:G28"/>
  <sheetViews>
    <sheetView showGridLines="0" workbookViewId="0"/>
  </sheetViews>
  <sheetFormatPr defaultRowHeight="15"/>
  <cols>
    <col min="1" max="1" width="42" customWidth="1"/>
    <col min="2" max="3" width="16" customWidth="1"/>
    <col min="4" max="4" width="24" customWidth="1"/>
    <col min="5" max="7" width="16" customWidth="1"/>
  </cols>
  <sheetData>
    <row r="1" spans="1:7" ht="19.5">
      <c r="A1" s="1" t="s">
        <v>249</v>
      </c>
    </row>
    <row r="2" spans="1:7">
      <c r="A2" s="2" t="s">
        <v>250</v>
      </c>
    </row>
    <row r="5" spans="1:7" ht="33.950000000000003" customHeight="1">
      <c r="A5" s="5" t="s">
        <v>251</v>
      </c>
      <c r="B5" s="5" t="str">
        <f>"Length ("&amp;IF(Setup!$B$9="Metres","m","ft")&amp;")"</f>
        <v>Length (ft)</v>
      </c>
      <c r="C5" s="5" t="str">
        <f>"Height ("&amp;IF(Setup!$B$9="Metres","m","ft")&amp;")"</f>
        <v>Height (ft)</v>
      </c>
      <c r="D5" s="5" t="str">
        <f>"Openings (doors &amp; windows) ("&amp;IF(Setup!$B$9="Metres","sq m","sq ft")&amp;")"</f>
        <v>Openings (doors &amp; windows) (sq ft)</v>
      </c>
      <c r="E5" s="5" t="s">
        <v>252</v>
      </c>
      <c r="F5" s="5" t="s">
        <v>253</v>
      </c>
      <c r="G5" s="5" t="s">
        <v>171</v>
      </c>
    </row>
    <row r="6" spans="1:7">
      <c r="A6" s="10" t="s">
        <v>254</v>
      </c>
      <c r="B6" s="11">
        <v>100</v>
      </c>
      <c r="C6" s="11">
        <v>10</v>
      </c>
      <c r="D6" s="15">
        <f>'Paint &amp; Tiles'!B47/Setup!$B$18</f>
        <v>128</v>
      </c>
      <c r="E6" s="21">
        <f>MAX(0,B6*C6-D6)*Setup!$B$18</f>
        <v>872</v>
      </c>
      <c r="F6" s="22">
        <v>230</v>
      </c>
      <c r="G6" s="27">
        <f>E6/10.7639*F6/1000</f>
        <v>18.632651734036919</v>
      </c>
    </row>
    <row r="7" spans="1:7">
      <c r="A7" s="10" t="s">
        <v>255</v>
      </c>
      <c r="B7" s="11">
        <v>120</v>
      </c>
      <c r="C7" s="11">
        <v>10</v>
      </c>
      <c r="D7" s="15">
        <f>'Paint &amp; Tiles'!B48/Setup!$B$18</f>
        <v>168</v>
      </c>
      <c r="E7" s="21">
        <f>MAX(0,B7*C7-D7)*Setup!$B$18</f>
        <v>1032</v>
      </c>
      <c r="F7" s="22">
        <v>115</v>
      </c>
      <c r="G7" s="27">
        <f>E7/10.7639*F7/1000</f>
        <v>11.025743457297079</v>
      </c>
    </row>
    <row r="8" spans="1:7">
      <c r="A8" s="10"/>
      <c r="B8" s="11"/>
      <c r="C8" s="11"/>
      <c r="D8" s="11"/>
      <c r="E8" s="21">
        <f>MAX(0,B8*C8-D8)*Setup!$B$18</f>
        <v>0</v>
      </c>
      <c r="F8" s="22"/>
      <c r="G8" s="27">
        <f>E8/10.7639*F8/1000</f>
        <v>0</v>
      </c>
    </row>
    <row r="9" spans="1:7">
      <c r="A9" s="10"/>
      <c r="B9" s="11"/>
      <c r="C9" s="11"/>
      <c r="D9" s="11"/>
      <c r="E9" s="21">
        <f>MAX(0,B9*C9-D9)*Setup!$B$18</f>
        <v>0</v>
      </c>
      <c r="F9" s="22"/>
      <c r="G9" s="27">
        <f>E9/10.7639*F9/1000</f>
        <v>0</v>
      </c>
    </row>
    <row r="10" spans="1:7">
      <c r="A10" s="10"/>
      <c r="B10" s="11"/>
      <c r="C10" s="11"/>
      <c r="D10" s="11"/>
      <c r="E10" s="21">
        <f>MAX(0,B10*C10-D10)*Setup!$B$18</f>
        <v>0</v>
      </c>
      <c r="F10" s="22"/>
      <c r="G10" s="27">
        <f>E10/10.7639*F10/1000</f>
        <v>0</v>
      </c>
    </row>
    <row r="11" spans="1:7">
      <c r="A11" s="9" t="s">
        <v>163</v>
      </c>
      <c r="E11" s="21">
        <f>SUM(E6:E10)</f>
        <v>1904</v>
      </c>
      <c r="G11" s="27">
        <f>SUM(G6:G10)</f>
        <v>29.658395191333998</v>
      </c>
    </row>
    <row r="12" spans="1:7">
      <c r="A12" s="13" t="s">
        <v>256</v>
      </c>
    </row>
    <row r="13" spans="1:7">
      <c r="A13" s="3" t="s">
        <v>257</v>
      </c>
      <c r="B13" s="4"/>
      <c r="C13" s="4"/>
      <c r="D13" s="4"/>
      <c r="E13" s="4"/>
      <c r="F13" s="4"/>
      <c r="G13" s="4"/>
    </row>
    <row r="14" spans="1:7">
      <c r="A14" s="13" t="s">
        <v>258</v>
      </c>
      <c r="B14" s="22">
        <v>500</v>
      </c>
    </row>
    <row r="15" spans="1:7">
      <c r="A15" s="13" t="s">
        <v>259</v>
      </c>
      <c r="B15" s="17">
        <v>0.05</v>
      </c>
    </row>
    <row r="16" spans="1:7">
      <c r="A16" s="13" t="s">
        <v>260</v>
      </c>
      <c r="B16" s="22">
        <v>600</v>
      </c>
    </row>
    <row r="17" spans="1:7">
      <c r="A17" s="13" t="s">
        <v>261</v>
      </c>
      <c r="B17" s="22">
        <v>200</v>
      </c>
    </row>
    <row r="18" spans="1:7">
      <c r="A18" s="13" t="s">
        <v>262</v>
      </c>
      <c r="B18" s="22">
        <v>200</v>
      </c>
    </row>
    <row r="20" spans="1:7">
      <c r="A20" s="3" t="s">
        <v>201</v>
      </c>
      <c r="B20" s="4"/>
      <c r="C20" s="4"/>
      <c r="D20" s="4"/>
      <c r="E20" s="4"/>
      <c r="F20" s="4"/>
      <c r="G20" s="4"/>
    </row>
    <row r="21" spans="1:7">
      <c r="A21" s="9" t="s">
        <v>263</v>
      </c>
      <c r="B21" s="21">
        <f>ROUNDUP(G11*B14*(1+B15),0)</f>
        <v>15571</v>
      </c>
    </row>
    <row r="22" spans="1:7">
      <c r="A22" s="13" t="s">
        <v>264</v>
      </c>
      <c r="B22" s="24">
        <f>B21*Rates!$C$9</f>
        <v>0</v>
      </c>
    </row>
    <row r="23" spans="1:7">
      <c r="A23" s="9" t="s">
        <v>265</v>
      </c>
      <c r="B23" s="21">
        <f>IF(B16*B17*B18=0,0,ROUNDUP(G11*1000000000/(B16*B17*B18)*(1+B15),0))</f>
        <v>1298</v>
      </c>
    </row>
    <row r="24" spans="1:7">
      <c r="A24" s="13" t="s">
        <v>266</v>
      </c>
      <c r="B24" s="24">
        <f>B23*Rates!$C$10</f>
        <v>0</v>
      </c>
    </row>
    <row r="25" spans="1:7">
      <c r="A25" s="13" t="s">
        <v>267</v>
      </c>
      <c r="B25" s="24">
        <f>E11*Rates!$C$15</f>
        <v>0</v>
      </c>
    </row>
    <row r="26" spans="1:7">
      <c r="A26" s="9" t="s">
        <v>268</v>
      </c>
      <c r="B26" s="24">
        <f>B22+B25</f>
        <v>0</v>
      </c>
    </row>
    <row r="28" spans="1:7">
      <c r="A28" s="13" t="s">
        <v>269</v>
      </c>
    </row>
  </sheetData>
  <sheetProtection sheet="1" formatCells="0" formatColumns="0" formatRows="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2F5D50"/>
  </sheetPr>
  <dimension ref="A1:C29"/>
  <sheetViews>
    <sheetView showGridLines="0" workbookViewId="0"/>
  </sheetViews>
  <sheetFormatPr defaultRowHeight="15"/>
  <cols>
    <col min="1" max="1" width="44" customWidth="1"/>
    <col min="2" max="2" width="18" customWidth="1"/>
    <col min="3" max="3" width="40" customWidth="1"/>
  </cols>
  <sheetData>
    <row r="1" spans="1:3" ht="19.5">
      <c r="A1" s="1" t="s">
        <v>270</v>
      </c>
    </row>
    <row r="2" spans="1:3">
      <c r="A2" s="2" t="s">
        <v>271</v>
      </c>
    </row>
    <row r="4" spans="1:3">
      <c r="A4" s="3" t="s">
        <v>272</v>
      </c>
      <c r="B4" s="4"/>
      <c r="C4" s="4"/>
    </row>
    <row r="5" spans="1:3">
      <c r="A5" s="13" t="s">
        <v>273</v>
      </c>
      <c r="B5" s="23">
        <f>'Paint &amp; Tiles'!G18</f>
        <v>3472</v>
      </c>
    </row>
    <row r="6" spans="1:3">
      <c r="A6" s="13" t="s">
        <v>274</v>
      </c>
      <c r="B6" s="23">
        <f>'Paint &amp; Tiles'!H18</f>
        <v>954</v>
      </c>
    </row>
    <row r="7" spans="1:3">
      <c r="A7" s="9" t="s">
        <v>275</v>
      </c>
      <c r="B7" s="23">
        <f>B5+B6</f>
        <v>4426</v>
      </c>
    </row>
    <row r="9" spans="1:3">
      <c r="A9" s="3" t="s">
        <v>276</v>
      </c>
      <c r="B9" s="4"/>
      <c r="C9" s="4"/>
    </row>
    <row r="10" spans="1:3">
      <c r="A10" s="13" t="s">
        <v>277</v>
      </c>
      <c r="B10" s="22">
        <v>12</v>
      </c>
    </row>
    <row r="11" spans="1:3">
      <c r="A11" s="13" t="s">
        <v>237</v>
      </c>
      <c r="B11" s="26">
        <v>1.27</v>
      </c>
    </row>
    <row r="12" spans="1:3">
      <c r="A12" s="13" t="s">
        <v>233</v>
      </c>
      <c r="B12" s="22">
        <v>1</v>
      </c>
    </row>
    <row r="13" spans="1:3">
      <c r="A13" s="13" t="s">
        <v>235</v>
      </c>
      <c r="B13" s="22">
        <v>6</v>
      </c>
    </row>
    <row r="14" spans="1:3">
      <c r="A14" s="13" t="s">
        <v>278</v>
      </c>
      <c r="B14" s="17">
        <v>0.1</v>
      </c>
    </row>
    <row r="16" spans="1:3">
      <c r="A16" s="3" t="s">
        <v>201</v>
      </c>
      <c r="B16" s="4"/>
      <c r="C16" s="4"/>
    </row>
    <row r="17" spans="1:3">
      <c r="A17" s="13" t="s">
        <v>279</v>
      </c>
      <c r="B17" s="23">
        <f>B7*B10/304.8</f>
        <v>174.25196850393701</v>
      </c>
    </row>
    <row r="18" spans="1:3">
      <c r="A18" s="13" t="s">
        <v>280</v>
      </c>
      <c r="B18" s="23">
        <f>B17*B11*(1+B14)</f>
        <v>243.43000000000004</v>
      </c>
    </row>
    <row r="19" spans="1:3">
      <c r="A19" s="9" t="s">
        <v>241</v>
      </c>
      <c r="B19" s="21">
        <f>IF(B12+B13=0,0,ROUNDUP(B18*B12/(B12+B13)/Assumptions!$B$11,0))</f>
        <v>28</v>
      </c>
    </row>
    <row r="20" spans="1:3">
      <c r="A20" s="9" t="s">
        <v>242</v>
      </c>
      <c r="B20" s="23">
        <f>IF(B12+B13=0,0,B18*B13/(B12+B13))</f>
        <v>208.65428571428575</v>
      </c>
    </row>
    <row r="22" spans="1:3">
      <c r="A22" s="3" t="s">
        <v>180</v>
      </c>
      <c r="B22" s="4"/>
      <c r="C22" s="4"/>
    </row>
    <row r="23" spans="1:3">
      <c r="A23" s="13" t="s">
        <v>244</v>
      </c>
      <c r="B23" s="24">
        <f>B19*Rates!$C$6</f>
        <v>0</v>
      </c>
    </row>
    <row r="24" spans="1:3">
      <c r="A24" s="13" t="s">
        <v>245</v>
      </c>
      <c r="B24" s="24">
        <f>B20*Rates!$C$7</f>
        <v>0</v>
      </c>
    </row>
    <row r="25" spans="1:3">
      <c r="A25" s="9" t="s">
        <v>281</v>
      </c>
      <c r="B25" s="24">
        <f>B23+B24</f>
        <v>0</v>
      </c>
    </row>
    <row r="26" spans="1:3">
      <c r="A26" s="13" t="s">
        <v>282</v>
      </c>
      <c r="B26" s="24">
        <f>B7*Rates!$C$19</f>
        <v>0</v>
      </c>
    </row>
    <row r="27" spans="1:3">
      <c r="A27" s="13" t="s">
        <v>283</v>
      </c>
    </row>
    <row r="28" spans="1:3">
      <c r="A28" s="13" t="s">
        <v>284</v>
      </c>
    </row>
    <row r="29" spans="1:3">
      <c r="A29" s="13" t="s">
        <v>285</v>
      </c>
    </row>
  </sheetData>
  <sheetProtection sheet="1" formatCells="0" formatColumns="0" formatRows="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2F5D50"/>
  </sheetPr>
  <dimension ref="A1:E16"/>
  <sheetViews>
    <sheetView showGridLines="0" workbookViewId="0"/>
  </sheetViews>
  <sheetFormatPr defaultRowHeight="15"/>
  <cols>
    <col min="1" max="1" width="24" customWidth="1"/>
    <col min="2" max="2" width="22" customWidth="1"/>
    <col min="3" max="3" width="18" customWidth="1"/>
    <col min="4" max="4" width="16" customWidth="1"/>
    <col min="5" max="5" width="18" customWidth="1"/>
  </cols>
  <sheetData>
    <row r="1" spans="1:5" ht="19.5">
      <c r="A1" s="1" t="s">
        <v>286</v>
      </c>
    </row>
    <row r="2" spans="1:5">
      <c r="A2" s="2" t="s">
        <v>287</v>
      </c>
    </row>
    <row r="5" spans="1:5" ht="33.950000000000003" customHeight="1">
      <c r="A5" s="5" t="s">
        <v>288</v>
      </c>
      <c r="B5" s="5" t="s">
        <v>289</v>
      </c>
      <c r="C5" s="5" t="s">
        <v>290</v>
      </c>
      <c r="D5" s="5" t="s">
        <v>291</v>
      </c>
      <c r="E5" s="5" t="s">
        <v>292</v>
      </c>
    </row>
    <row r="6" spans="1:5">
      <c r="A6" s="22">
        <v>8</v>
      </c>
      <c r="B6" s="11">
        <v>12</v>
      </c>
      <c r="C6" s="22">
        <v>50</v>
      </c>
      <c r="D6" s="23">
        <f>IF(A6="",0,A6^2/Assumptions!$B$21*B6*C6)</f>
        <v>237.03703703703701</v>
      </c>
      <c r="E6" s="28">
        <f t="shared" ref="E6:E11" si="0">D6/1000</f>
        <v>0.23703703703703702</v>
      </c>
    </row>
    <row r="7" spans="1:5">
      <c r="A7" s="22">
        <v>10</v>
      </c>
      <c r="B7" s="11">
        <v>12</v>
      </c>
      <c r="C7" s="22">
        <v>50</v>
      </c>
      <c r="D7" s="23">
        <f>IF(A7="",0,A7^2/Assumptions!$B$21*B7*C7)</f>
        <v>370.37037037037032</v>
      </c>
      <c r="E7" s="28">
        <f t="shared" si="0"/>
        <v>0.37037037037037035</v>
      </c>
    </row>
    <row r="8" spans="1:5">
      <c r="A8" s="22">
        <v>12</v>
      </c>
      <c r="B8" s="11">
        <v>12</v>
      </c>
      <c r="C8" s="22">
        <v>100</v>
      </c>
      <c r="D8" s="23">
        <f>IF(A8="",0,A8^2/Assumptions!$B$21*B8*C8)</f>
        <v>1066.6666666666665</v>
      </c>
      <c r="E8" s="28">
        <f t="shared" si="0"/>
        <v>1.0666666666666664</v>
      </c>
    </row>
    <row r="9" spans="1:5">
      <c r="A9" s="22">
        <v>16</v>
      </c>
      <c r="B9" s="11">
        <v>12</v>
      </c>
      <c r="C9" s="22">
        <v>100</v>
      </c>
      <c r="D9" s="23">
        <f>IF(A9="",0,A9^2/Assumptions!$B$21*B9*C9)</f>
        <v>1896.2962962962961</v>
      </c>
      <c r="E9" s="28">
        <f t="shared" si="0"/>
        <v>1.8962962962962961</v>
      </c>
    </row>
    <row r="10" spans="1:5">
      <c r="A10" s="22">
        <v>20</v>
      </c>
      <c r="B10" s="11">
        <v>12</v>
      </c>
      <c r="C10" s="22">
        <v>40</v>
      </c>
      <c r="D10" s="23">
        <f>IF(A10="",0,A10^2/Assumptions!$B$21*B10*C10)</f>
        <v>1185.185185185185</v>
      </c>
      <c r="E10" s="28">
        <f t="shared" si="0"/>
        <v>1.1851851851851849</v>
      </c>
    </row>
    <row r="11" spans="1:5">
      <c r="A11" s="22"/>
      <c r="B11" s="11"/>
      <c r="C11" s="22"/>
      <c r="D11" s="23">
        <f>IF(A11="",0,A11^2/Assumptions!$B$21*B11*C11)</f>
        <v>0</v>
      </c>
      <c r="E11" s="28">
        <f t="shared" si="0"/>
        <v>0</v>
      </c>
    </row>
    <row r="12" spans="1:5">
      <c r="A12" s="9" t="s">
        <v>163</v>
      </c>
      <c r="D12" s="23">
        <f>SUM(D6:D11)</f>
        <v>4755.5555555555547</v>
      </c>
      <c r="E12" s="28">
        <f>SUM(E6:E11)</f>
        <v>4.7555555555555546</v>
      </c>
    </row>
    <row r="14" spans="1:5">
      <c r="A14" s="9" t="s">
        <v>293</v>
      </c>
      <c r="D14" s="24">
        <f>D12*Rates!$C$11</f>
        <v>0</v>
      </c>
    </row>
    <row r="16" spans="1:5">
      <c r="A16" s="13" t="s">
        <v>294</v>
      </c>
    </row>
  </sheetData>
  <sheetProtection sheet="1" formatCells="0" formatColumns="0" formatRows="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2F5D50"/>
  </sheetPr>
  <dimension ref="A1:D25"/>
  <sheetViews>
    <sheetView showGridLines="0" workbookViewId="0"/>
  </sheetViews>
  <sheetFormatPr defaultRowHeight="15"/>
  <cols>
    <col min="1" max="1" width="36" customWidth="1"/>
    <col min="2" max="2" width="14" customWidth="1"/>
    <col min="3" max="3" width="26" customWidth="1"/>
    <col min="4" max="4" width="18" customWidth="1"/>
  </cols>
  <sheetData>
    <row r="1" spans="1:4" ht="19.5">
      <c r="A1" s="1" t="s">
        <v>295</v>
      </c>
    </row>
    <row r="2" spans="1:4">
      <c r="A2" s="2" t="s">
        <v>296</v>
      </c>
    </row>
    <row r="5" spans="1:4" ht="33.950000000000003" customHeight="1">
      <c r="A5" s="5" t="s">
        <v>168</v>
      </c>
      <c r="B5" s="5" t="s">
        <v>169</v>
      </c>
      <c r="C5" s="5" t="s">
        <v>297</v>
      </c>
      <c r="D5" s="5" t="s">
        <v>298</v>
      </c>
    </row>
    <row r="6" spans="1:4">
      <c r="A6" s="13" t="s">
        <v>299</v>
      </c>
      <c r="B6" s="22"/>
      <c r="C6" s="12"/>
      <c r="D6" s="24">
        <f t="shared" ref="D6:D12" si="0">IF(OR(B6="",C6=""),0,B6*C6)</f>
        <v>0</v>
      </c>
    </row>
    <row r="7" spans="1:4">
      <c r="A7" s="13" t="s">
        <v>300</v>
      </c>
      <c r="B7" s="22"/>
      <c r="C7" s="12"/>
      <c r="D7" s="24">
        <f t="shared" si="0"/>
        <v>0</v>
      </c>
    </row>
    <row r="8" spans="1:4">
      <c r="A8" s="13" t="s">
        <v>301</v>
      </c>
      <c r="B8" s="22"/>
      <c r="C8" s="12"/>
      <c r="D8" s="24">
        <f t="shared" si="0"/>
        <v>0</v>
      </c>
    </row>
    <row r="9" spans="1:4">
      <c r="A9" s="13" t="s">
        <v>302</v>
      </c>
      <c r="B9" s="22"/>
      <c r="C9" s="12"/>
      <c r="D9" s="24">
        <f t="shared" si="0"/>
        <v>0</v>
      </c>
    </row>
    <row r="10" spans="1:4">
      <c r="A10" s="13" t="s">
        <v>303</v>
      </c>
      <c r="B10" s="22"/>
      <c r="C10" s="12"/>
      <c r="D10" s="24">
        <f t="shared" si="0"/>
        <v>0</v>
      </c>
    </row>
    <row r="11" spans="1:4">
      <c r="A11" s="13" t="s">
        <v>304</v>
      </c>
      <c r="B11" s="22"/>
      <c r="C11" s="12"/>
      <c r="D11" s="24">
        <f t="shared" si="0"/>
        <v>0</v>
      </c>
    </row>
    <row r="12" spans="1:4">
      <c r="A12" s="13" t="s">
        <v>305</v>
      </c>
      <c r="B12" s="22"/>
      <c r="C12" s="12"/>
      <c r="D12" s="24">
        <f t="shared" si="0"/>
        <v>0</v>
      </c>
    </row>
    <row r="13" spans="1:4">
      <c r="A13" s="9" t="s">
        <v>306</v>
      </c>
      <c r="D13" s="24">
        <f>SUM(D6:D12)</f>
        <v>0</v>
      </c>
    </row>
    <row r="14" spans="1:4">
      <c r="A14" s="9" t="s">
        <v>307</v>
      </c>
    </row>
    <row r="15" spans="1:4">
      <c r="A15" s="13" t="s">
        <v>308</v>
      </c>
      <c r="B15" s="22"/>
      <c r="C15" s="12"/>
      <c r="D15" s="24">
        <f t="shared" ref="D15:D22" si="1">IF(OR(B15="",C15=""),0,B15*C15)</f>
        <v>0</v>
      </c>
    </row>
    <row r="16" spans="1:4">
      <c r="A16" s="13" t="s">
        <v>309</v>
      </c>
      <c r="B16" s="22"/>
      <c r="C16" s="12"/>
      <c r="D16" s="24">
        <f t="shared" si="1"/>
        <v>0</v>
      </c>
    </row>
    <row r="17" spans="1:4">
      <c r="A17" s="13" t="s">
        <v>310</v>
      </c>
      <c r="B17" s="22"/>
      <c r="C17" s="12"/>
      <c r="D17" s="24">
        <f t="shared" si="1"/>
        <v>0</v>
      </c>
    </row>
    <row r="18" spans="1:4">
      <c r="A18" s="13" t="s">
        <v>311</v>
      </c>
      <c r="B18" s="22"/>
      <c r="C18" s="12"/>
      <c r="D18" s="24">
        <f t="shared" si="1"/>
        <v>0</v>
      </c>
    </row>
    <row r="19" spans="1:4">
      <c r="A19" s="13" t="s">
        <v>312</v>
      </c>
      <c r="B19" s="22"/>
      <c r="C19" s="12"/>
      <c r="D19" s="24">
        <f t="shared" si="1"/>
        <v>0</v>
      </c>
    </row>
    <row r="20" spans="1:4">
      <c r="A20" s="13" t="s">
        <v>313</v>
      </c>
      <c r="B20" s="22"/>
      <c r="C20" s="12"/>
      <c r="D20" s="24">
        <f t="shared" si="1"/>
        <v>0</v>
      </c>
    </row>
    <row r="21" spans="1:4">
      <c r="A21" s="13" t="s">
        <v>314</v>
      </c>
      <c r="B21" s="22"/>
      <c r="C21" s="12"/>
      <c r="D21" s="24">
        <f t="shared" si="1"/>
        <v>0</v>
      </c>
    </row>
    <row r="22" spans="1:4">
      <c r="A22" s="13" t="s">
        <v>315</v>
      </c>
      <c r="B22" s="22"/>
      <c r="C22" s="12"/>
      <c r="D22" s="24">
        <f t="shared" si="1"/>
        <v>0</v>
      </c>
    </row>
    <row r="23" spans="1:4">
      <c r="A23" s="9" t="s">
        <v>316</v>
      </c>
      <c r="D23" s="24">
        <f>SUM(D15:D22)</f>
        <v>0</v>
      </c>
    </row>
    <row r="25" spans="1:4">
      <c r="A25" s="13" t="s">
        <v>317</v>
      </c>
    </row>
  </sheetData>
  <sheetProtection sheet="1" formatCells="0" formatColumns="0" formatRows="0"/>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2F5D50"/>
  </sheetPr>
  <dimension ref="A1:H34"/>
  <sheetViews>
    <sheetView showGridLines="0" workbookViewId="0">
      <pane ySplit="5" topLeftCell="A6" activePane="bottomLeft" state="frozen"/>
      <selection pane="bottomLeft"/>
    </sheetView>
  </sheetViews>
  <sheetFormatPr defaultRowHeight="15"/>
  <cols>
    <col min="1" max="1" width="44" customWidth="1"/>
    <col min="2" max="2" width="10" customWidth="1"/>
    <col min="3" max="6" width="18" customWidth="1"/>
    <col min="7" max="7" width="14" customWidth="1"/>
    <col min="8" max="8" width="32" customWidth="1"/>
  </cols>
  <sheetData>
    <row r="1" spans="1:8" ht="19.5">
      <c r="A1" s="1" t="s">
        <v>318</v>
      </c>
    </row>
    <row r="2" spans="1:8">
      <c r="A2" s="2" t="s">
        <v>319</v>
      </c>
    </row>
    <row r="5" spans="1:8" ht="33.950000000000003" customHeight="1">
      <c r="A5" s="5" t="s">
        <v>320</v>
      </c>
      <c r="B5" s="5" t="s">
        <v>321</v>
      </c>
      <c r="C5" s="5" t="s">
        <v>322</v>
      </c>
      <c r="D5" s="5" t="s">
        <v>323</v>
      </c>
      <c r="E5" s="5" t="s">
        <v>324</v>
      </c>
      <c r="F5" s="5" t="s">
        <v>325</v>
      </c>
      <c r="G5" s="5" t="s">
        <v>326</v>
      </c>
      <c r="H5" s="5" t="s">
        <v>327</v>
      </c>
    </row>
    <row r="6" spans="1:8">
      <c r="A6" s="9" t="s">
        <v>328</v>
      </c>
      <c r="B6" s="13" t="s">
        <v>329</v>
      </c>
      <c r="C6" s="24">
        <f>Earthwork!B22</f>
        <v>0</v>
      </c>
      <c r="D6" s="12"/>
      <c r="E6" s="24">
        <f t="shared" ref="E6:E26" si="0">C6-D6</f>
        <v>0</v>
      </c>
      <c r="F6" s="25" t="str">
        <f t="shared" ref="F6:F25" si="1">IF(C6=0,"",D6/C6)</f>
        <v/>
      </c>
      <c r="G6" s="10" t="s">
        <v>330</v>
      </c>
      <c r="H6" s="10" t="s">
        <v>331</v>
      </c>
    </row>
    <row r="7" spans="1:8">
      <c r="A7" s="9" t="s">
        <v>332</v>
      </c>
      <c r="B7" s="13" t="s">
        <v>329</v>
      </c>
      <c r="C7" s="24">
        <f>Concrete!B34</f>
        <v>0</v>
      </c>
      <c r="D7" s="12"/>
      <c r="E7" s="24">
        <f t="shared" si="0"/>
        <v>0</v>
      </c>
      <c r="F7" s="25" t="str">
        <f t="shared" si="1"/>
        <v/>
      </c>
      <c r="G7" s="10" t="s">
        <v>330</v>
      </c>
      <c r="H7" s="10" t="s">
        <v>333</v>
      </c>
    </row>
    <row r="8" spans="1:8">
      <c r="A8" s="9" t="s">
        <v>334</v>
      </c>
      <c r="B8" s="13" t="s">
        <v>329</v>
      </c>
      <c r="C8" s="24">
        <f>Steel!D14</f>
        <v>0</v>
      </c>
      <c r="D8" s="12"/>
      <c r="E8" s="24">
        <f t="shared" si="0"/>
        <v>0</v>
      </c>
      <c r="F8" s="25" t="str">
        <f t="shared" si="1"/>
        <v/>
      </c>
      <c r="G8" s="10" t="s">
        <v>330</v>
      </c>
      <c r="H8" s="10" t="s">
        <v>333</v>
      </c>
    </row>
    <row r="9" spans="1:8">
      <c r="A9" s="9" t="s">
        <v>335</v>
      </c>
      <c r="B9" s="13" t="s">
        <v>329</v>
      </c>
      <c r="C9" s="24">
        <f>'Bricks &amp; Blocks'!B26</f>
        <v>0</v>
      </c>
      <c r="D9" s="12"/>
      <c r="E9" s="24">
        <f t="shared" si="0"/>
        <v>0</v>
      </c>
      <c r="F9" s="25" t="str">
        <f t="shared" si="1"/>
        <v/>
      </c>
      <c r="G9" s="10" t="s">
        <v>330</v>
      </c>
      <c r="H9" s="10" t="s">
        <v>336</v>
      </c>
    </row>
    <row r="10" spans="1:8">
      <c r="A10" s="9" t="s">
        <v>337</v>
      </c>
      <c r="B10" s="13" t="s">
        <v>329</v>
      </c>
      <c r="C10" s="24">
        <f>Plaster!B25+Plaster!B26</f>
        <v>0</v>
      </c>
      <c r="D10" s="12"/>
      <c r="E10" s="24">
        <f t="shared" si="0"/>
        <v>0</v>
      </c>
      <c r="F10" s="25" t="str">
        <f t="shared" si="1"/>
        <v/>
      </c>
      <c r="G10" s="10" t="s">
        <v>330</v>
      </c>
      <c r="H10" s="10" t="s">
        <v>336</v>
      </c>
    </row>
    <row r="11" spans="1:8">
      <c r="A11" s="9" t="s">
        <v>338</v>
      </c>
      <c r="B11" s="13" t="s">
        <v>329</v>
      </c>
      <c r="C11" s="24">
        <f>'Paint &amp; Tiles'!B42+'Paint &amp; Tiles'!B40*Rates!$C$21</f>
        <v>0</v>
      </c>
      <c r="D11" s="12"/>
      <c r="E11" s="24">
        <f t="shared" si="0"/>
        <v>0</v>
      </c>
      <c r="F11" s="25" t="str">
        <f t="shared" si="1"/>
        <v/>
      </c>
      <c r="G11" s="10" t="s">
        <v>330</v>
      </c>
      <c r="H11" s="10" t="s">
        <v>339</v>
      </c>
    </row>
    <row r="12" spans="1:8">
      <c r="A12" s="9" t="s">
        <v>340</v>
      </c>
      <c r="B12" s="13" t="s">
        <v>329</v>
      </c>
      <c r="C12" s="24">
        <f>'Paint &amp; Tiles'!B39+'Paint &amp; Tiles'!G18*Rates!$C$20</f>
        <v>0</v>
      </c>
      <c r="D12" s="12"/>
      <c r="E12" s="24">
        <f t="shared" si="0"/>
        <v>0</v>
      </c>
      <c r="F12" s="25" t="str">
        <f t="shared" si="1"/>
        <v/>
      </c>
      <c r="G12" s="10" t="s">
        <v>330</v>
      </c>
      <c r="H12" s="10" t="s">
        <v>341</v>
      </c>
    </row>
    <row r="13" spans="1:8">
      <c r="A13" s="9" t="s">
        <v>342</v>
      </c>
      <c r="B13" s="13" t="s">
        <v>329</v>
      </c>
      <c r="C13" s="24">
        <f>'Exterior &amp; Roof'!B13+'Exterior &amp; Roof'!B14</f>
        <v>0</v>
      </c>
      <c r="D13" s="12"/>
      <c r="E13" s="24">
        <f t="shared" si="0"/>
        <v>0</v>
      </c>
      <c r="F13" s="25" t="str">
        <f t="shared" si="1"/>
        <v/>
      </c>
      <c r="G13" s="10" t="s">
        <v>330</v>
      </c>
      <c r="H13" s="10" t="s">
        <v>341</v>
      </c>
    </row>
    <row r="14" spans="1:8">
      <c r="A14" s="9" t="s">
        <v>343</v>
      </c>
      <c r="B14" s="13" t="s">
        <v>344</v>
      </c>
      <c r="C14" s="12"/>
      <c r="D14" s="12"/>
      <c r="E14" s="24">
        <f t="shared" si="0"/>
        <v>0</v>
      </c>
      <c r="F14" s="25" t="str">
        <f t="shared" si="1"/>
        <v/>
      </c>
      <c r="G14" s="10" t="s">
        <v>330</v>
      </c>
      <c r="H14" s="10" t="s">
        <v>345</v>
      </c>
    </row>
    <row r="15" spans="1:8">
      <c r="A15" s="9" t="s">
        <v>346</v>
      </c>
      <c r="B15" s="13" t="s">
        <v>344</v>
      </c>
      <c r="C15" s="12"/>
      <c r="D15" s="12"/>
      <c r="E15" s="24">
        <f t="shared" si="0"/>
        <v>0</v>
      </c>
      <c r="F15" s="25" t="str">
        <f t="shared" si="1"/>
        <v/>
      </c>
      <c r="G15" s="10" t="s">
        <v>330</v>
      </c>
      <c r="H15" s="10" t="s">
        <v>345</v>
      </c>
    </row>
    <row r="16" spans="1:8">
      <c r="A16" s="9" t="s">
        <v>347</v>
      </c>
      <c r="B16" s="13" t="s">
        <v>329</v>
      </c>
      <c r="C16" s="24">
        <f>Services!D13</f>
        <v>0</v>
      </c>
      <c r="D16" s="12"/>
      <c r="E16" s="24">
        <f t="shared" si="0"/>
        <v>0</v>
      </c>
      <c r="F16" s="25" t="str">
        <f t="shared" si="1"/>
        <v/>
      </c>
      <c r="G16" s="10" t="s">
        <v>330</v>
      </c>
      <c r="H16" s="10" t="s">
        <v>348</v>
      </c>
    </row>
    <row r="17" spans="1:8">
      <c r="A17" s="9" t="s">
        <v>349</v>
      </c>
      <c r="B17" s="13" t="s">
        <v>329</v>
      </c>
      <c r="C17" s="24">
        <f>Services!D23</f>
        <v>0</v>
      </c>
      <c r="D17" s="12"/>
      <c r="E17" s="24">
        <f t="shared" si="0"/>
        <v>0</v>
      </c>
      <c r="F17" s="25" t="str">
        <f t="shared" si="1"/>
        <v/>
      </c>
      <c r="G17" s="10" t="s">
        <v>330</v>
      </c>
      <c r="H17" s="10" t="s">
        <v>348</v>
      </c>
    </row>
    <row r="18" spans="1:8">
      <c r="A18" s="9" t="s">
        <v>350</v>
      </c>
      <c r="B18" s="13" t="s">
        <v>344</v>
      </c>
      <c r="C18" s="12"/>
      <c r="D18" s="12"/>
      <c r="E18" s="24">
        <f t="shared" si="0"/>
        <v>0</v>
      </c>
      <c r="F18" s="25" t="str">
        <f t="shared" si="1"/>
        <v/>
      </c>
      <c r="G18" s="10" t="s">
        <v>330</v>
      </c>
      <c r="H18" s="10" t="s">
        <v>351</v>
      </c>
    </row>
    <row r="19" spans="1:8">
      <c r="A19" s="9" t="s">
        <v>352</v>
      </c>
      <c r="B19" s="13" t="s">
        <v>344</v>
      </c>
      <c r="C19" s="12"/>
      <c r="D19" s="12"/>
      <c r="E19" s="24">
        <f t="shared" si="0"/>
        <v>0</v>
      </c>
      <c r="F19" s="25" t="str">
        <f t="shared" si="1"/>
        <v/>
      </c>
      <c r="G19" s="10" t="s">
        <v>330</v>
      </c>
      <c r="H19" s="10" t="s">
        <v>351</v>
      </c>
    </row>
    <row r="20" spans="1:8">
      <c r="A20" s="9" t="s">
        <v>353</v>
      </c>
      <c r="B20" s="13" t="s">
        <v>344</v>
      </c>
      <c r="C20" s="12"/>
      <c r="D20" s="12"/>
      <c r="E20" s="24">
        <f t="shared" si="0"/>
        <v>0</v>
      </c>
      <c r="F20" s="25" t="str">
        <f t="shared" si="1"/>
        <v/>
      </c>
      <c r="G20" s="10" t="s">
        <v>330</v>
      </c>
      <c r="H20" s="10" t="s">
        <v>351</v>
      </c>
    </row>
    <row r="21" spans="1:8">
      <c r="A21" s="9" t="s">
        <v>354</v>
      </c>
      <c r="B21" s="13" t="s">
        <v>329</v>
      </c>
      <c r="C21" s="24">
        <f>'Exterior &amp; Roof'!B18</f>
        <v>0</v>
      </c>
      <c r="D21" s="12"/>
      <c r="E21" s="24">
        <f t="shared" si="0"/>
        <v>0</v>
      </c>
      <c r="F21" s="25" t="str">
        <f t="shared" si="1"/>
        <v/>
      </c>
      <c r="G21" s="10" t="s">
        <v>330</v>
      </c>
      <c r="H21" s="10" t="s">
        <v>333</v>
      </c>
    </row>
    <row r="22" spans="1:8">
      <c r="A22" s="9" t="s">
        <v>355</v>
      </c>
      <c r="B22" s="13" t="s">
        <v>344</v>
      </c>
      <c r="C22" s="12"/>
      <c r="D22" s="12"/>
      <c r="E22" s="24">
        <f t="shared" si="0"/>
        <v>0</v>
      </c>
      <c r="F22" s="25" t="str">
        <f t="shared" si="1"/>
        <v/>
      </c>
      <c r="G22" s="10" t="s">
        <v>330</v>
      </c>
      <c r="H22" s="10" t="s">
        <v>356</v>
      </c>
    </row>
    <row r="23" spans="1:8">
      <c r="A23" s="9" t="s">
        <v>357</v>
      </c>
      <c r="B23" s="13" t="s">
        <v>344</v>
      </c>
      <c r="C23" s="12"/>
      <c r="D23" s="12"/>
      <c r="E23" s="24">
        <f t="shared" si="0"/>
        <v>0</v>
      </c>
      <c r="F23" s="25" t="str">
        <f t="shared" si="1"/>
        <v/>
      </c>
      <c r="G23" s="10" t="s">
        <v>330</v>
      </c>
      <c r="H23" s="10" t="s">
        <v>356</v>
      </c>
    </row>
    <row r="24" spans="1:8">
      <c r="A24" s="9" t="s">
        <v>358</v>
      </c>
      <c r="B24" s="13" t="s">
        <v>329</v>
      </c>
      <c r="C24" s="24">
        <f>Permits!I26</f>
        <v>0</v>
      </c>
      <c r="D24" s="12"/>
      <c r="E24" s="24">
        <f t="shared" si="0"/>
        <v>0</v>
      </c>
      <c r="F24" s="25" t="str">
        <f t="shared" si="1"/>
        <v/>
      </c>
      <c r="G24" s="10" t="s">
        <v>330</v>
      </c>
      <c r="H24" s="10" t="s">
        <v>356</v>
      </c>
    </row>
    <row r="25" spans="1:8">
      <c r="A25" s="9" t="s">
        <v>359</v>
      </c>
      <c r="B25" s="13" t="s">
        <v>344</v>
      </c>
      <c r="C25" s="12"/>
      <c r="D25" s="12"/>
      <c r="E25" s="24">
        <f t="shared" si="0"/>
        <v>0</v>
      </c>
      <c r="F25" s="25" t="str">
        <f t="shared" si="1"/>
        <v/>
      </c>
      <c r="G25" s="10" t="s">
        <v>330</v>
      </c>
      <c r="H25" s="10" t="s">
        <v>356</v>
      </c>
    </row>
    <row r="26" spans="1:8">
      <c r="A26" s="9" t="s">
        <v>360</v>
      </c>
      <c r="C26" s="24">
        <f>SUM(C6:C25)</f>
        <v>0</v>
      </c>
      <c r="D26" s="24">
        <f>SUM(D6:D25)</f>
        <v>0</v>
      </c>
      <c r="E26" s="24">
        <f t="shared" si="0"/>
        <v>0</v>
      </c>
    </row>
    <row r="27" spans="1:8">
      <c r="A27" s="13" t="s">
        <v>361</v>
      </c>
      <c r="C27" s="24">
        <f>C26*Setup!$B$12</f>
        <v>0</v>
      </c>
    </row>
    <row r="28" spans="1:8">
      <c r="A28" s="13" t="s">
        <v>362</v>
      </c>
      <c r="C28" s="24">
        <f>(C26+C27)*Setup!$B$13</f>
        <v>0</v>
      </c>
    </row>
    <row r="29" spans="1:8">
      <c r="A29" s="9" t="s">
        <v>363</v>
      </c>
      <c r="C29" s="24">
        <f>C26+C27+C28</f>
        <v>0</v>
      </c>
      <c r="D29" s="24">
        <f>D26</f>
        <v>0</v>
      </c>
    </row>
    <row r="30" spans="1:8">
      <c r="A30" s="13" t="s">
        <v>364</v>
      </c>
      <c r="C30" s="24">
        <f>Setup!$B$11</f>
        <v>2500000</v>
      </c>
    </row>
    <row r="31" spans="1:8">
      <c r="A31" s="9" t="s">
        <v>365</v>
      </c>
      <c r="C31" s="24">
        <f>C30-C29</f>
        <v>2500000</v>
      </c>
    </row>
    <row r="32" spans="1:8">
      <c r="A32" s="13" t="s">
        <v>366</v>
      </c>
      <c r="C32" s="24">
        <f>IF(Setup!$B$19=0,0,C29/Setup!$B$19)</f>
        <v>0</v>
      </c>
    </row>
    <row r="34" spans="1:1">
      <c r="A34" s="13" t="str">
        <f>IF(COUNTBLANK(Rates!C6:C21)&gt;0,"Warning: "&amp;COUNTBLANK(Rates!C6:C21)&amp;" rate(s) are blank on the Rates tab, so those costs show as zero.","All rates entered.")</f>
        <v>Warning: 16 rate(s) are blank on the Rates tab, so those costs show as zero.</v>
      </c>
    </row>
  </sheetData>
  <sheetProtection sheet="1" formatCells="0" formatColumns="0" formatRows="0"/>
  <conditionalFormatting sqref="E6:E25">
    <cfRule type="expression" dxfId="6" priority="2">
      <formula>AND(ISNUMBER($E6),$E6&lt;0)</formula>
    </cfRule>
  </conditionalFormatting>
  <conditionalFormatting sqref="F6:F25">
    <cfRule type="dataBar" priority="1">
      <dataBar>
        <cfvo type="num" val="0"/>
        <cfvo type="num" val="1"/>
        <color rgb="FF5B9C86"/>
      </dataBar>
    </cfRule>
  </conditionalFormatting>
  <dataValidations count="2">
    <dataValidation type="list" allowBlank="1" sqref="G6 G7 G8 G9 G10 G11 G12 G13 G14 G15 G16 G17 G18 G19 G20 G21 G22 G23 G24 G25" xr:uid="{00000000-0002-0000-0C00-000000000000}">
      <formula1>"Planned,In progress,Done,On hold"</formula1>
    </dataValidation>
    <dataValidation type="list" allowBlank="1" sqref="H6 H7 H8 H9 H10 H11 H12 H13 H14 H15 H16 H17 H18 H19 H20 H21 H22 H23 H24 H25" xr:uid="{00000000-0002-0000-0C00-000001000000}">
      <formula1>"Site preparation &amp; foundation,Structure (concrete &amp; steel),Masonry (walls),Flooring,Painting,Doors, windows &amp; fittings,Plumbing &amp; electrical,Kitchen &amp; bathrooms,Approvals, fees &amp; other"</formula1>
    </dataValidation>
  </dataValidation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2F5D50"/>
  </sheetPr>
  <dimension ref="A1:G22"/>
  <sheetViews>
    <sheetView showGridLines="0" workbookViewId="0">
      <pane ySplit="5" topLeftCell="A6" activePane="bottomLeft" state="frozen"/>
      <selection pane="bottomLeft"/>
    </sheetView>
  </sheetViews>
  <sheetFormatPr defaultRowHeight="15"/>
  <cols>
    <col min="1" max="1" width="30" customWidth="1"/>
    <col min="2" max="5" width="18" customWidth="1"/>
    <col min="6" max="7" width="20" customWidth="1"/>
  </cols>
  <sheetData>
    <row r="1" spans="1:7" ht="19.5">
      <c r="A1" s="1" t="s">
        <v>367</v>
      </c>
    </row>
    <row r="2" spans="1:7">
      <c r="A2" s="2" t="s">
        <v>368</v>
      </c>
    </row>
    <row r="5" spans="1:7" ht="33.950000000000003" customHeight="1">
      <c r="A5" s="5" t="s">
        <v>187</v>
      </c>
      <c r="B5" s="5" t="str">
        <f>"Floor area ("&amp;IF(Setup!$B$9="Metres","sq m","sq ft")&amp;")"</f>
        <v>Floor area (sq ft)</v>
      </c>
      <c r="C5" s="5" t="str">
        <f>"Net wall area ("&amp;IF(Setup!$B$9="Metres","sq m","sq ft")&amp;")"</f>
        <v>Net wall area (sq ft)</v>
      </c>
      <c r="D5" s="5" t="s">
        <v>204</v>
      </c>
      <c r="E5" s="5" t="s">
        <v>207</v>
      </c>
      <c r="F5" s="5" t="s">
        <v>369</v>
      </c>
      <c r="G5" s="5" t="s">
        <v>370</v>
      </c>
    </row>
    <row r="6" spans="1:7">
      <c r="A6" s="6" t="str">
        <f>'Paint &amp; Tiles'!A6</f>
        <v>Living room</v>
      </c>
      <c r="B6" s="23">
        <f>'Paint &amp; Tiles'!H6</f>
        <v>192</v>
      </c>
      <c r="C6" s="23">
        <f>'Paint &amp; Tiles'!G6</f>
        <v>507</v>
      </c>
      <c r="D6" s="24">
        <f>C6*'Paint &amp; Tiles'!$B$27/'Paint &amp; Tiles'!$B$28*(1+'Paint &amp; Tiles'!$B$29)*Rates!$C$12</f>
        <v>0</v>
      </c>
      <c r="E6" s="24">
        <f>B6*(1+'Paint &amp; Tiles'!$B$34)*Rates!$C$13</f>
        <v>0</v>
      </c>
      <c r="F6" s="24">
        <f t="shared" ref="F6:F17" si="0">D6+E6</f>
        <v>0</v>
      </c>
      <c r="G6" s="25" t="str">
        <f t="shared" ref="G6:G17" si="1">IF($F$20=0,"",F6/$F$20)</f>
        <v/>
      </c>
    </row>
    <row r="7" spans="1:7">
      <c r="A7" s="6" t="str">
        <f>'Paint &amp; Tiles'!A7</f>
        <v>Dining</v>
      </c>
      <c r="B7" s="23">
        <f>'Paint &amp; Tiles'!H7</f>
        <v>100</v>
      </c>
      <c r="C7" s="23">
        <f>'Paint &amp; Tiles'!G7</f>
        <v>384</v>
      </c>
      <c r="D7" s="24">
        <f>C7*'Paint &amp; Tiles'!$B$27/'Paint &amp; Tiles'!$B$28*(1+'Paint &amp; Tiles'!$B$29)*Rates!$C$12</f>
        <v>0</v>
      </c>
      <c r="E7" s="24">
        <f>B7*(1+'Paint &amp; Tiles'!$B$34)*Rates!$C$13</f>
        <v>0</v>
      </c>
      <c r="F7" s="24">
        <f t="shared" si="0"/>
        <v>0</v>
      </c>
      <c r="G7" s="25" t="str">
        <f t="shared" si="1"/>
        <v/>
      </c>
    </row>
    <row r="8" spans="1:7">
      <c r="A8" s="6" t="str">
        <f>'Paint &amp; Tiles'!A8</f>
        <v>Kitchen</v>
      </c>
      <c r="B8" s="23">
        <f>'Paint &amp; Tiles'!H8</f>
        <v>90</v>
      </c>
      <c r="C8" s="23">
        <f>'Paint &amp; Tiles'!G8</f>
        <v>343</v>
      </c>
      <c r="D8" s="24">
        <f>C8*'Paint &amp; Tiles'!$B$27/'Paint &amp; Tiles'!$B$28*(1+'Paint &amp; Tiles'!$B$29)*Rates!$C$12</f>
        <v>0</v>
      </c>
      <c r="E8" s="24">
        <f>B8*(1+'Paint &amp; Tiles'!$B$34)*Rates!$C$13</f>
        <v>0</v>
      </c>
      <c r="F8" s="24">
        <f t="shared" si="0"/>
        <v>0</v>
      </c>
      <c r="G8" s="25" t="str">
        <f t="shared" si="1"/>
        <v/>
      </c>
    </row>
    <row r="9" spans="1:7">
      <c r="A9" s="6" t="str">
        <f>'Paint &amp; Tiles'!A9</f>
        <v>Master bedroom</v>
      </c>
      <c r="B9" s="23">
        <f>'Paint &amp; Tiles'!H9</f>
        <v>156</v>
      </c>
      <c r="C9" s="23">
        <f>'Paint &amp; Tiles'!G9</f>
        <v>463</v>
      </c>
      <c r="D9" s="24">
        <f>C9*'Paint &amp; Tiles'!$B$27/'Paint &amp; Tiles'!$B$28*(1+'Paint &amp; Tiles'!$B$29)*Rates!$C$12</f>
        <v>0</v>
      </c>
      <c r="E9" s="24">
        <f>B9*(1+'Paint &amp; Tiles'!$B$34)*Rates!$C$13</f>
        <v>0</v>
      </c>
      <c r="F9" s="24">
        <f t="shared" si="0"/>
        <v>0</v>
      </c>
      <c r="G9" s="25" t="str">
        <f t="shared" si="1"/>
        <v/>
      </c>
    </row>
    <row r="10" spans="1:7">
      <c r="A10" s="6" t="str">
        <f>'Paint &amp; Tiles'!A10</f>
        <v>Bedroom 2</v>
      </c>
      <c r="B10" s="23">
        <f>'Paint &amp; Tiles'!H10</f>
        <v>132</v>
      </c>
      <c r="C10" s="23">
        <f>'Paint &amp; Tiles'!G10</f>
        <v>423</v>
      </c>
      <c r="D10" s="24">
        <f>C10*'Paint &amp; Tiles'!$B$27/'Paint &amp; Tiles'!$B$28*(1+'Paint &amp; Tiles'!$B$29)*Rates!$C$12</f>
        <v>0</v>
      </c>
      <c r="E10" s="24">
        <f>B10*(1+'Paint &amp; Tiles'!$B$34)*Rates!$C$13</f>
        <v>0</v>
      </c>
      <c r="F10" s="24">
        <f t="shared" si="0"/>
        <v>0</v>
      </c>
      <c r="G10" s="25" t="str">
        <f t="shared" si="1"/>
        <v/>
      </c>
    </row>
    <row r="11" spans="1:7">
      <c r="A11" s="6" t="str">
        <f>'Paint &amp; Tiles'!A11</f>
        <v>Bedroom 3</v>
      </c>
      <c r="B11" s="23">
        <f>'Paint &amp; Tiles'!H11</f>
        <v>110</v>
      </c>
      <c r="C11" s="23">
        <f>'Paint &amp; Tiles'!G11</f>
        <v>383</v>
      </c>
      <c r="D11" s="24">
        <f>C11*'Paint &amp; Tiles'!$B$27/'Paint &amp; Tiles'!$B$28*(1+'Paint &amp; Tiles'!$B$29)*Rates!$C$12</f>
        <v>0</v>
      </c>
      <c r="E11" s="24">
        <f>B11*(1+'Paint &amp; Tiles'!$B$34)*Rates!$C$13</f>
        <v>0</v>
      </c>
      <c r="F11" s="24">
        <f t="shared" si="0"/>
        <v>0</v>
      </c>
      <c r="G11" s="25" t="str">
        <f t="shared" si="1"/>
        <v/>
      </c>
    </row>
    <row r="12" spans="1:7">
      <c r="A12" s="6" t="str">
        <f>'Paint &amp; Tiles'!A12</f>
        <v>Attached toilet 1</v>
      </c>
      <c r="B12" s="23">
        <f>'Paint &amp; Tiles'!H12</f>
        <v>30</v>
      </c>
      <c r="C12" s="23">
        <f>'Paint &amp; Tiles'!G12</f>
        <v>139</v>
      </c>
      <c r="D12" s="24">
        <f>C12*'Paint &amp; Tiles'!$B$27/'Paint &amp; Tiles'!$B$28*(1+'Paint &amp; Tiles'!$B$29)*Rates!$C$12</f>
        <v>0</v>
      </c>
      <c r="E12" s="24">
        <f>B12*(1+'Paint &amp; Tiles'!$B$34)*Rates!$C$13</f>
        <v>0</v>
      </c>
      <c r="F12" s="24">
        <f t="shared" si="0"/>
        <v>0</v>
      </c>
      <c r="G12" s="25" t="str">
        <f t="shared" si="1"/>
        <v/>
      </c>
    </row>
    <row r="13" spans="1:7">
      <c r="A13" s="6" t="str">
        <f>'Paint &amp; Tiles'!A13</f>
        <v>Attached toilet 2</v>
      </c>
      <c r="B13" s="23">
        <f>'Paint &amp; Tiles'!H13</f>
        <v>30</v>
      </c>
      <c r="C13" s="23">
        <f>'Paint &amp; Tiles'!G13</f>
        <v>155</v>
      </c>
      <c r="D13" s="24">
        <f>C13*'Paint &amp; Tiles'!$B$27/'Paint &amp; Tiles'!$B$28*(1+'Paint &amp; Tiles'!$B$29)*Rates!$C$12</f>
        <v>0</v>
      </c>
      <c r="E13" s="24">
        <f>B13*(1+'Paint &amp; Tiles'!$B$34)*Rates!$C$13</f>
        <v>0</v>
      </c>
      <c r="F13" s="24">
        <f t="shared" si="0"/>
        <v>0</v>
      </c>
      <c r="G13" s="25" t="str">
        <f t="shared" si="1"/>
        <v/>
      </c>
    </row>
    <row r="14" spans="1:7">
      <c r="A14" s="6" t="str">
        <f>'Paint &amp; Tiles'!A14</f>
        <v>Common toilet</v>
      </c>
      <c r="B14" s="23">
        <f>'Paint &amp; Tiles'!H14</f>
        <v>30</v>
      </c>
      <c r="C14" s="23">
        <f>'Paint &amp; Tiles'!G14</f>
        <v>155</v>
      </c>
      <c r="D14" s="24">
        <f>C14*'Paint &amp; Tiles'!$B$27/'Paint &amp; Tiles'!$B$28*(1+'Paint &amp; Tiles'!$B$29)*Rates!$C$12</f>
        <v>0</v>
      </c>
      <c r="E14" s="24">
        <f>B14*(1+'Paint &amp; Tiles'!$B$34)*Rates!$C$13</f>
        <v>0</v>
      </c>
      <c r="F14" s="24">
        <f t="shared" si="0"/>
        <v>0</v>
      </c>
      <c r="G14" s="25" t="str">
        <f t="shared" si="1"/>
        <v/>
      </c>
    </row>
    <row r="15" spans="1:7">
      <c r="A15" s="6" t="str">
        <f>'Paint &amp; Tiles'!A15</f>
        <v>Passage / utility</v>
      </c>
      <c r="B15" s="23">
        <f>'Paint &amp; Tiles'!H15</f>
        <v>48</v>
      </c>
      <c r="C15" s="23">
        <f>'Paint &amp; Tiles'!G15</f>
        <v>280</v>
      </c>
      <c r="D15" s="24">
        <f>C15*'Paint &amp; Tiles'!$B$27/'Paint &amp; Tiles'!$B$28*(1+'Paint &amp; Tiles'!$B$29)*Rates!$C$12</f>
        <v>0</v>
      </c>
      <c r="E15" s="24">
        <f>B15*(1+'Paint &amp; Tiles'!$B$34)*Rates!$C$13</f>
        <v>0</v>
      </c>
      <c r="F15" s="24">
        <f t="shared" si="0"/>
        <v>0</v>
      </c>
      <c r="G15" s="25" t="str">
        <f t="shared" si="1"/>
        <v/>
      </c>
    </row>
    <row r="16" spans="1:7">
      <c r="A16" s="6" t="str">
        <f>'Paint &amp; Tiles'!A16</f>
        <v>Foyer</v>
      </c>
      <c r="B16" s="23">
        <f>'Paint &amp; Tiles'!H16</f>
        <v>36</v>
      </c>
      <c r="C16" s="23">
        <f>'Paint &amp; Tiles'!G16</f>
        <v>240</v>
      </c>
      <c r="D16" s="24">
        <f>C16*'Paint &amp; Tiles'!$B$27/'Paint &amp; Tiles'!$B$28*(1+'Paint &amp; Tiles'!$B$29)*Rates!$C$12</f>
        <v>0</v>
      </c>
      <c r="E16" s="24">
        <f>B16*(1+'Paint &amp; Tiles'!$B$34)*Rates!$C$13</f>
        <v>0</v>
      </c>
      <c r="F16" s="24">
        <f t="shared" si="0"/>
        <v>0</v>
      </c>
      <c r="G16" s="25" t="str">
        <f t="shared" si="1"/>
        <v/>
      </c>
    </row>
    <row r="17" spans="1:7">
      <c r="A17" s="6" t="str">
        <f>'Paint &amp; Tiles'!A17</f>
        <v/>
      </c>
      <c r="B17" s="23">
        <f>'Paint &amp; Tiles'!H17</f>
        <v>0</v>
      </c>
      <c r="C17" s="23">
        <f>'Paint &amp; Tiles'!G17</f>
        <v>0</v>
      </c>
      <c r="D17" s="24">
        <f>C17*'Paint &amp; Tiles'!$B$27/'Paint &amp; Tiles'!$B$28*(1+'Paint &amp; Tiles'!$B$29)*Rates!$C$12</f>
        <v>0</v>
      </c>
      <c r="E17" s="24">
        <f>B17*(1+'Paint &amp; Tiles'!$B$34)*Rates!$C$13</f>
        <v>0</v>
      </c>
      <c r="F17" s="24">
        <f t="shared" si="0"/>
        <v>0</v>
      </c>
      <c r="G17" s="25" t="str">
        <f t="shared" si="1"/>
        <v/>
      </c>
    </row>
    <row r="20" spans="1:7">
      <c r="A20" s="9" t="s">
        <v>163</v>
      </c>
      <c r="B20" s="23">
        <f>SUM(B6:B17)</f>
        <v>954</v>
      </c>
      <c r="C20" s="23">
        <f>SUM(C6:C17)</f>
        <v>3472</v>
      </c>
      <c r="D20" s="24">
        <f>SUM(D6:D17)</f>
        <v>0</v>
      </c>
      <c r="E20" s="24">
        <f>SUM(E6:E17)</f>
        <v>0</v>
      </c>
      <c r="F20" s="24">
        <f>SUM(F6:F17)</f>
        <v>0</v>
      </c>
    </row>
    <row r="22" spans="1:7">
      <c r="A22" s="13" t="s">
        <v>371</v>
      </c>
    </row>
  </sheetData>
  <sheetProtection sheet="1" formatCells="0" formatColumns="0" formatRows="0"/>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2F5D50"/>
  </sheetPr>
  <dimension ref="A1:H19"/>
  <sheetViews>
    <sheetView showGridLines="0" workbookViewId="0">
      <pane ySplit="5" topLeftCell="A6" activePane="bottomLeft" state="frozen"/>
      <selection pane="bottomLeft"/>
    </sheetView>
  </sheetViews>
  <sheetFormatPr defaultRowHeight="15"/>
  <cols>
    <col min="1" max="1" width="34" customWidth="1"/>
    <col min="2" max="2" width="22" customWidth="1"/>
    <col min="3" max="4" width="14" customWidth="1"/>
    <col min="5" max="6" width="18" customWidth="1"/>
    <col min="7" max="7" width="22" customWidth="1"/>
    <col min="8" max="8" width="18" customWidth="1"/>
  </cols>
  <sheetData>
    <row r="1" spans="1:8" ht="19.5">
      <c r="A1" s="1" t="s">
        <v>372</v>
      </c>
    </row>
    <row r="2" spans="1:8">
      <c r="A2" s="2" t="s">
        <v>373</v>
      </c>
    </row>
    <row r="5" spans="1:8" ht="33.950000000000003" customHeight="1">
      <c r="A5" s="5" t="s">
        <v>327</v>
      </c>
      <c r="B5" s="5" t="s">
        <v>374</v>
      </c>
      <c r="C5" s="5" t="s">
        <v>375</v>
      </c>
      <c r="D5" s="5" t="s">
        <v>376</v>
      </c>
      <c r="E5" s="5" t="s">
        <v>377</v>
      </c>
      <c r="F5" s="5" t="s">
        <v>323</v>
      </c>
      <c r="G5" s="5" t="s">
        <v>378</v>
      </c>
      <c r="H5" s="5" t="s">
        <v>326</v>
      </c>
    </row>
    <row r="6" spans="1:8">
      <c r="A6" s="9" t="s">
        <v>331</v>
      </c>
      <c r="B6" s="24">
        <f>SUMIF('Cost Estimate'!$H$6:$H$25,A6,'Cost Estimate'!$C$6:$C$25)</f>
        <v>0</v>
      </c>
      <c r="C6" s="25">
        <f t="shared" ref="C6:C14" si="0">IF($B$15=0,0,B6/$B$15)</f>
        <v>0</v>
      </c>
      <c r="D6" s="17">
        <v>0.08</v>
      </c>
      <c r="E6" s="24">
        <f>D6*Setup!$B$11</f>
        <v>200000</v>
      </c>
      <c r="F6" s="24">
        <f>SUMIF('Cost Estimate'!$H$6:$H$25,A6,'Cost Estimate'!$D$6:$D$25)</f>
        <v>0</v>
      </c>
      <c r="G6" s="24">
        <f t="shared" ref="G6:G15" si="1">E6-B6</f>
        <v>200000</v>
      </c>
      <c r="H6" s="6" t="str">
        <f t="shared" ref="H6:H14" si="2">IF(E6=0,"Set a target share",IF(B6&gt;E6,"Over target","Within target"))</f>
        <v>Within target</v>
      </c>
    </row>
    <row r="7" spans="1:8">
      <c r="A7" s="9" t="s">
        <v>333</v>
      </c>
      <c r="B7" s="24">
        <f>SUMIF('Cost Estimate'!$H$6:$H$25,A7,'Cost Estimate'!$C$6:$C$25)</f>
        <v>0</v>
      </c>
      <c r="C7" s="25">
        <f t="shared" si="0"/>
        <v>0</v>
      </c>
      <c r="D7" s="17">
        <v>0.3</v>
      </c>
      <c r="E7" s="24">
        <f>D7*Setup!$B$11</f>
        <v>750000</v>
      </c>
      <c r="F7" s="24">
        <f>SUMIF('Cost Estimate'!$H$6:$H$25,A7,'Cost Estimate'!$D$6:$D$25)</f>
        <v>0</v>
      </c>
      <c r="G7" s="24">
        <f t="shared" si="1"/>
        <v>750000</v>
      </c>
      <c r="H7" s="6" t="str">
        <f t="shared" si="2"/>
        <v>Within target</v>
      </c>
    </row>
    <row r="8" spans="1:8">
      <c r="A8" s="9" t="s">
        <v>336</v>
      </c>
      <c r="B8" s="24">
        <f>SUMIF('Cost Estimate'!$H$6:$H$25,A8,'Cost Estimate'!$C$6:$C$25)</f>
        <v>0</v>
      </c>
      <c r="C8" s="25">
        <f t="shared" si="0"/>
        <v>0</v>
      </c>
      <c r="D8" s="17">
        <v>0.15</v>
      </c>
      <c r="E8" s="24">
        <f>D8*Setup!$B$11</f>
        <v>375000</v>
      </c>
      <c r="F8" s="24">
        <f>SUMIF('Cost Estimate'!$H$6:$H$25,A8,'Cost Estimate'!$D$6:$D$25)</f>
        <v>0</v>
      </c>
      <c r="G8" s="24">
        <f t="shared" si="1"/>
        <v>375000</v>
      </c>
      <c r="H8" s="6" t="str">
        <f t="shared" si="2"/>
        <v>Within target</v>
      </c>
    </row>
    <row r="9" spans="1:8">
      <c r="A9" s="9" t="s">
        <v>339</v>
      </c>
      <c r="B9" s="24">
        <f>SUMIF('Cost Estimate'!$H$6:$H$25,A9,'Cost Estimate'!$C$6:$C$25)</f>
        <v>0</v>
      </c>
      <c r="C9" s="25">
        <f t="shared" si="0"/>
        <v>0</v>
      </c>
      <c r="D9" s="17">
        <v>0.08</v>
      </c>
      <c r="E9" s="24">
        <f>D9*Setup!$B$11</f>
        <v>200000</v>
      </c>
      <c r="F9" s="24">
        <f>SUMIF('Cost Estimate'!$H$6:$H$25,A9,'Cost Estimate'!$D$6:$D$25)</f>
        <v>0</v>
      </c>
      <c r="G9" s="24">
        <f t="shared" si="1"/>
        <v>200000</v>
      </c>
      <c r="H9" s="6" t="str">
        <f t="shared" si="2"/>
        <v>Within target</v>
      </c>
    </row>
    <row r="10" spans="1:8">
      <c r="A10" s="9" t="s">
        <v>341</v>
      </c>
      <c r="B10" s="24">
        <f>SUMIF('Cost Estimate'!$H$6:$H$25,A10,'Cost Estimate'!$C$6:$C$25)</f>
        <v>0</v>
      </c>
      <c r="C10" s="25">
        <f t="shared" si="0"/>
        <v>0</v>
      </c>
      <c r="D10" s="17">
        <v>7.0000000000000007E-2</v>
      </c>
      <c r="E10" s="24">
        <f>D10*Setup!$B$11</f>
        <v>175000.00000000003</v>
      </c>
      <c r="F10" s="24">
        <f>SUMIF('Cost Estimate'!$H$6:$H$25,A10,'Cost Estimate'!$D$6:$D$25)</f>
        <v>0</v>
      </c>
      <c r="G10" s="24">
        <f t="shared" si="1"/>
        <v>175000.00000000003</v>
      </c>
      <c r="H10" s="6" t="str">
        <f t="shared" si="2"/>
        <v>Within target</v>
      </c>
    </row>
    <row r="11" spans="1:8">
      <c r="A11" s="9" t="s">
        <v>345</v>
      </c>
      <c r="B11" s="24">
        <f>SUMIF('Cost Estimate'!$H$6:$H$25,A11,'Cost Estimate'!$C$6:$C$25)</f>
        <v>0</v>
      </c>
      <c r="C11" s="25">
        <f t="shared" si="0"/>
        <v>0</v>
      </c>
      <c r="D11" s="17">
        <v>7.0000000000000007E-2</v>
      </c>
      <c r="E11" s="24">
        <f>D11*Setup!$B$11</f>
        <v>175000.00000000003</v>
      </c>
      <c r="F11" s="24">
        <f>SUMIF('Cost Estimate'!$H$6:$H$25,A11,'Cost Estimate'!$D$6:$D$25)</f>
        <v>0</v>
      </c>
      <c r="G11" s="24">
        <f t="shared" si="1"/>
        <v>175000.00000000003</v>
      </c>
      <c r="H11" s="6" t="str">
        <f t="shared" si="2"/>
        <v>Within target</v>
      </c>
    </row>
    <row r="12" spans="1:8">
      <c r="A12" s="9" t="s">
        <v>348</v>
      </c>
      <c r="B12" s="24">
        <f>SUMIF('Cost Estimate'!$H$6:$H$25,A12,'Cost Estimate'!$C$6:$C$25)</f>
        <v>0</v>
      </c>
      <c r="C12" s="25">
        <f t="shared" si="0"/>
        <v>0</v>
      </c>
      <c r="D12" s="17">
        <v>0.12</v>
      </c>
      <c r="E12" s="24">
        <f>D12*Setup!$B$11</f>
        <v>300000</v>
      </c>
      <c r="F12" s="24">
        <f>SUMIF('Cost Estimate'!$H$6:$H$25,A12,'Cost Estimate'!$D$6:$D$25)</f>
        <v>0</v>
      </c>
      <c r="G12" s="24">
        <f t="shared" si="1"/>
        <v>300000</v>
      </c>
      <c r="H12" s="6" t="str">
        <f t="shared" si="2"/>
        <v>Within target</v>
      </c>
    </row>
    <row r="13" spans="1:8">
      <c r="A13" s="9" t="s">
        <v>351</v>
      </c>
      <c r="B13" s="24">
        <f>SUMIF('Cost Estimate'!$H$6:$H$25,A13,'Cost Estimate'!$C$6:$C$25)</f>
        <v>0</v>
      </c>
      <c r="C13" s="25">
        <f t="shared" si="0"/>
        <v>0</v>
      </c>
      <c r="D13" s="17">
        <v>0.08</v>
      </c>
      <c r="E13" s="24">
        <f>D13*Setup!$B$11</f>
        <v>200000</v>
      </c>
      <c r="F13" s="24">
        <f>SUMIF('Cost Estimate'!$H$6:$H$25,A13,'Cost Estimate'!$D$6:$D$25)</f>
        <v>0</v>
      </c>
      <c r="G13" s="24">
        <f t="shared" si="1"/>
        <v>200000</v>
      </c>
      <c r="H13" s="6" t="str">
        <f t="shared" si="2"/>
        <v>Within target</v>
      </c>
    </row>
    <row r="14" spans="1:8">
      <c r="A14" s="9" t="s">
        <v>356</v>
      </c>
      <c r="B14" s="24">
        <f>SUMIF('Cost Estimate'!$H$6:$H$25,A14,'Cost Estimate'!$C$6:$C$25)</f>
        <v>0</v>
      </c>
      <c r="C14" s="25">
        <f t="shared" si="0"/>
        <v>0</v>
      </c>
      <c r="D14" s="17">
        <v>0.05</v>
      </c>
      <c r="E14" s="24">
        <f>D14*Setup!$B$11</f>
        <v>125000</v>
      </c>
      <c r="F14" s="24">
        <f>SUMIF('Cost Estimate'!$H$6:$H$25,A14,'Cost Estimate'!$D$6:$D$25)</f>
        <v>0</v>
      </c>
      <c r="G14" s="24">
        <f t="shared" si="1"/>
        <v>125000</v>
      </c>
      <c r="H14" s="6" t="str">
        <f t="shared" si="2"/>
        <v>Within target</v>
      </c>
    </row>
    <row r="15" spans="1:8">
      <c r="A15" s="9" t="s">
        <v>163</v>
      </c>
      <c r="B15" s="24">
        <f>SUM(B6:B14)</f>
        <v>0</v>
      </c>
      <c r="C15" s="25">
        <f>SUM(C6:C14)</f>
        <v>0</v>
      </c>
      <c r="D15" s="25">
        <f>SUM(D6:D14)</f>
        <v>1</v>
      </c>
      <c r="E15" s="24">
        <f>SUM(E6:E14)</f>
        <v>2500000</v>
      </c>
      <c r="F15" s="24">
        <f>SUM(F6:F14)</f>
        <v>0</v>
      </c>
      <c r="G15" s="24">
        <f t="shared" si="1"/>
        <v>2500000</v>
      </c>
    </row>
    <row r="17" spans="1:1">
      <c r="A17" s="13" t="str">
        <f>IF(ROUND(B15-'Cost Estimate'!C26,0)=0,"Check: every cost is assigned to a stage.","Warning: some costs have no stage. Check the Stage column on Cost Estimate.")</f>
        <v>Check: every cost is assigned to a stage.</v>
      </c>
    </row>
    <row r="18" spans="1:1">
      <c r="A18" s="13" t="s">
        <v>379</v>
      </c>
    </row>
    <row r="19" spans="1:1">
      <c r="A19" s="13" t="str">
        <f>IF(ROUND(D15,4)=1,"Target shares add up to 100%.","Warning: target shares add up to "&amp;TEXT(D15,"0%")&amp;". Adjust them to 100%.")</f>
        <v>Target shares add up to 100%.</v>
      </c>
    </row>
  </sheetData>
  <sheetProtection sheet="1" formatCells="0" formatColumns="0" formatRows="0"/>
  <conditionalFormatting sqref="C6:C14">
    <cfRule type="dataBar" priority="1">
      <dataBar>
        <cfvo type="num" val="0"/>
        <cfvo type="num" val="1"/>
        <color rgb="FF5B9C86"/>
      </dataBar>
    </cfRule>
  </conditionalFormatting>
  <conditionalFormatting sqref="H6:H14">
    <cfRule type="expression" dxfId="5" priority="2">
      <formula>$H6="Over target"</formula>
    </cfRule>
    <cfRule type="expression" dxfId="4" priority="3">
      <formula>$H6="Within target"</formula>
    </cfRule>
  </conditionalFormatting>
  <pageMargins left="0.75" right="0.75" top="1" bottom="1" header="0.5" footer="0.5"/>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2F5D50"/>
  </sheetPr>
  <dimension ref="A1:F46"/>
  <sheetViews>
    <sheetView showGridLines="0" workbookViewId="0">
      <pane ySplit="5" topLeftCell="A6" activePane="bottomLeft" state="frozen"/>
      <selection pane="bottomLeft"/>
    </sheetView>
  </sheetViews>
  <sheetFormatPr defaultRowHeight="15"/>
  <cols>
    <col min="1" max="1" width="30" customWidth="1"/>
    <col min="2" max="2" width="60" customWidth="1"/>
    <col min="3" max="3" width="12" customWidth="1"/>
    <col min="4" max="4" width="16" customWidth="1"/>
    <col min="5" max="5" width="20" customWidth="1"/>
    <col min="6" max="6" width="30" customWidth="1"/>
  </cols>
  <sheetData>
    <row r="1" spans="1:6" ht="19.5">
      <c r="A1" s="1" t="s">
        <v>380</v>
      </c>
    </row>
    <row r="2" spans="1:6">
      <c r="A2" s="2" t="s">
        <v>381</v>
      </c>
    </row>
    <row r="5" spans="1:6" ht="33.950000000000003" customHeight="1">
      <c r="A5" s="5" t="s">
        <v>327</v>
      </c>
      <c r="B5" s="5" t="s">
        <v>382</v>
      </c>
      <c r="C5" s="5" t="s">
        <v>383</v>
      </c>
      <c r="D5" s="5" t="s">
        <v>384</v>
      </c>
      <c r="E5" s="5" t="s">
        <v>385</v>
      </c>
      <c r="F5" s="5" t="s">
        <v>190</v>
      </c>
    </row>
    <row r="6" spans="1:6">
      <c r="A6" s="3" t="s">
        <v>331</v>
      </c>
      <c r="B6" s="4"/>
      <c r="C6" s="4"/>
      <c r="D6" s="4"/>
      <c r="E6" s="4"/>
      <c r="F6" s="4"/>
    </row>
    <row r="7" spans="1:6">
      <c r="A7" s="6" t="s">
        <v>331</v>
      </c>
      <c r="B7" s="8" t="s">
        <v>386</v>
      </c>
      <c r="C7" s="10"/>
      <c r="D7" s="18"/>
      <c r="E7" s="10"/>
      <c r="F7" s="10"/>
    </row>
    <row r="8" spans="1:6">
      <c r="A8" s="6" t="s">
        <v>331</v>
      </c>
      <c r="B8" s="8" t="s">
        <v>387</v>
      </c>
      <c r="C8" s="10"/>
      <c r="D8" s="18"/>
      <c r="E8" s="10"/>
      <c r="F8" s="10"/>
    </row>
    <row r="9" spans="1:6" ht="30">
      <c r="A9" s="6" t="s">
        <v>331</v>
      </c>
      <c r="B9" s="8" t="s">
        <v>388</v>
      </c>
      <c r="C9" s="10"/>
      <c r="D9" s="18"/>
      <c r="E9" s="10"/>
      <c r="F9" s="10"/>
    </row>
    <row r="10" spans="1:6">
      <c r="A10" s="3" t="s">
        <v>333</v>
      </c>
      <c r="B10" s="4"/>
      <c r="C10" s="4"/>
      <c r="D10" s="4"/>
      <c r="E10" s="4"/>
      <c r="F10" s="4"/>
    </row>
    <row r="11" spans="1:6" ht="30">
      <c r="A11" s="6" t="s">
        <v>333</v>
      </c>
      <c r="B11" s="8" t="s">
        <v>389</v>
      </c>
      <c r="C11" s="10"/>
      <c r="D11" s="18"/>
      <c r="E11" s="10"/>
      <c r="F11" s="10"/>
    </row>
    <row r="12" spans="1:6">
      <c r="A12" s="6" t="s">
        <v>333</v>
      </c>
      <c r="B12" s="8" t="s">
        <v>390</v>
      </c>
      <c r="C12" s="10"/>
      <c r="D12" s="18"/>
      <c r="E12" s="10"/>
      <c r="F12" s="10"/>
    </row>
    <row r="13" spans="1:6">
      <c r="A13" s="6" t="s">
        <v>333</v>
      </c>
      <c r="B13" s="8" t="s">
        <v>391</v>
      </c>
      <c r="C13" s="10"/>
      <c r="D13" s="18"/>
      <c r="E13" s="10"/>
      <c r="F13" s="10"/>
    </row>
    <row r="14" spans="1:6">
      <c r="A14" s="6" t="s">
        <v>333</v>
      </c>
      <c r="B14" s="8" t="s">
        <v>392</v>
      </c>
      <c r="C14" s="10"/>
      <c r="D14" s="18"/>
      <c r="E14" s="10"/>
      <c r="F14" s="10"/>
    </row>
    <row r="15" spans="1:6">
      <c r="A15" s="3" t="s">
        <v>336</v>
      </c>
      <c r="B15" s="4"/>
      <c r="C15" s="4"/>
      <c r="D15" s="4"/>
      <c r="E15" s="4"/>
      <c r="F15" s="4"/>
    </row>
    <row r="16" spans="1:6">
      <c r="A16" s="6" t="s">
        <v>336</v>
      </c>
      <c r="B16" s="8" t="s">
        <v>393</v>
      </c>
      <c r="C16" s="10"/>
      <c r="D16" s="18"/>
      <c r="E16" s="10"/>
      <c r="F16" s="10"/>
    </row>
    <row r="17" spans="1:6">
      <c r="A17" s="6" t="s">
        <v>336</v>
      </c>
      <c r="B17" s="8" t="s">
        <v>394</v>
      </c>
      <c r="C17" s="10"/>
      <c r="D17" s="18"/>
      <c r="E17" s="10"/>
      <c r="F17" s="10"/>
    </row>
    <row r="18" spans="1:6">
      <c r="A18" s="6" t="s">
        <v>336</v>
      </c>
      <c r="B18" s="8" t="s">
        <v>395</v>
      </c>
      <c r="C18" s="10"/>
      <c r="D18" s="18"/>
      <c r="E18" s="10"/>
      <c r="F18" s="10"/>
    </row>
    <row r="19" spans="1:6">
      <c r="A19" s="3" t="s">
        <v>339</v>
      </c>
      <c r="B19" s="4"/>
      <c r="C19" s="4"/>
      <c r="D19" s="4"/>
      <c r="E19" s="4"/>
      <c r="F19" s="4"/>
    </row>
    <row r="20" spans="1:6">
      <c r="A20" s="6" t="s">
        <v>339</v>
      </c>
      <c r="B20" s="8" t="s">
        <v>396</v>
      </c>
      <c r="C20" s="10"/>
      <c r="D20" s="18"/>
      <c r="E20" s="10"/>
      <c r="F20" s="10"/>
    </row>
    <row r="21" spans="1:6">
      <c r="A21" s="6" t="s">
        <v>339</v>
      </c>
      <c r="B21" s="8" t="s">
        <v>397</v>
      </c>
      <c r="C21" s="10"/>
      <c r="D21" s="18"/>
      <c r="E21" s="10"/>
      <c r="F21" s="10"/>
    </row>
    <row r="22" spans="1:6">
      <c r="A22" s="6" t="s">
        <v>339</v>
      </c>
      <c r="B22" s="8" t="s">
        <v>398</v>
      </c>
      <c r="C22" s="10"/>
      <c r="D22" s="18"/>
      <c r="E22" s="10"/>
      <c r="F22" s="10"/>
    </row>
    <row r="23" spans="1:6">
      <c r="A23" s="6" t="s">
        <v>339</v>
      </c>
      <c r="B23" s="8" t="s">
        <v>399</v>
      </c>
      <c r="C23" s="10"/>
      <c r="D23" s="18"/>
      <c r="E23" s="10"/>
      <c r="F23" s="10"/>
    </row>
    <row r="24" spans="1:6">
      <c r="A24" s="3" t="s">
        <v>341</v>
      </c>
      <c r="B24" s="4"/>
      <c r="C24" s="4"/>
      <c r="D24" s="4"/>
      <c r="E24" s="4"/>
      <c r="F24" s="4"/>
    </row>
    <row r="25" spans="1:6">
      <c r="A25" s="6" t="s">
        <v>341</v>
      </c>
      <c r="B25" s="8" t="s">
        <v>400</v>
      </c>
      <c r="C25" s="10"/>
      <c r="D25" s="18"/>
      <c r="E25" s="10"/>
      <c r="F25" s="10"/>
    </row>
    <row r="26" spans="1:6">
      <c r="A26" s="6" t="s">
        <v>341</v>
      </c>
      <c r="B26" s="8" t="s">
        <v>401</v>
      </c>
      <c r="C26" s="10"/>
      <c r="D26" s="18"/>
      <c r="E26" s="10"/>
      <c r="F26" s="10"/>
    </row>
    <row r="27" spans="1:6">
      <c r="A27" s="6" t="s">
        <v>341</v>
      </c>
      <c r="B27" s="8" t="s">
        <v>402</v>
      </c>
      <c r="C27" s="10"/>
      <c r="D27" s="18"/>
      <c r="E27" s="10"/>
      <c r="F27" s="10"/>
    </row>
    <row r="28" spans="1:6">
      <c r="A28" s="6" t="s">
        <v>341</v>
      </c>
      <c r="B28" s="8" t="s">
        <v>403</v>
      </c>
      <c r="C28" s="10"/>
      <c r="D28" s="18"/>
      <c r="E28" s="10"/>
      <c r="F28" s="10"/>
    </row>
    <row r="29" spans="1:6">
      <c r="A29" s="3" t="s">
        <v>345</v>
      </c>
      <c r="B29" s="4"/>
      <c r="C29" s="4"/>
      <c r="D29" s="4"/>
      <c r="E29" s="4"/>
      <c r="F29" s="4"/>
    </row>
    <row r="30" spans="1:6">
      <c r="A30" s="6" t="s">
        <v>345</v>
      </c>
      <c r="B30" s="8" t="s">
        <v>404</v>
      </c>
      <c r="C30" s="10"/>
      <c r="D30" s="18"/>
      <c r="E30" s="10"/>
      <c r="F30" s="10"/>
    </row>
    <row r="31" spans="1:6">
      <c r="A31" s="6" t="s">
        <v>345</v>
      </c>
      <c r="B31" s="8" t="s">
        <v>405</v>
      </c>
      <c r="C31" s="10"/>
      <c r="D31" s="18"/>
      <c r="E31" s="10"/>
      <c r="F31" s="10"/>
    </row>
    <row r="32" spans="1:6">
      <c r="A32" s="6" t="s">
        <v>345</v>
      </c>
      <c r="B32" s="8" t="s">
        <v>406</v>
      </c>
      <c r="C32" s="10"/>
      <c r="D32" s="18"/>
      <c r="E32" s="10"/>
      <c r="F32" s="10"/>
    </row>
    <row r="33" spans="1:6">
      <c r="A33" s="3" t="s">
        <v>348</v>
      </c>
      <c r="B33" s="4"/>
      <c r="C33" s="4"/>
      <c r="D33" s="4"/>
      <c r="E33" s="4"/>
      <c r="F33" s="4"/>
    </row>
    <row r="34" spans="1:6">
      <c r="A34" s="6" t="s">
        <v>348</v>
      </c>
      <c r="B34" s="8" t="s">
        <v>407</v>
      </c>
      <c r="C34" s="10"/>
      <c r="D34" s="18"/>
      <c r="E34" s="10"/>
      <c r="F34" s="10"/>
    </row>
    <row r="35" spans="1:6">
      <c r="A35" s="6" t="s">
        <v>348</v>
      </c>
      <c r="B35" s="8" t="s">
        <v>408</v>
      </c>
      <c r="C35" s="10"/>
      <c r="D35" s="18"/>
      <c r="E35" s="10"/>
      <c r="F35" s="10"/>
    </row>
    <row r="36" spans="1:6">
      <c r="A36" s="6" t="s">
        <v>348</v>
      </c>
      <c r="B36" s="8" t="s">
        <v>409</v>
      </c>
      <c r="C36" s="10"/>
      <c r="D36" s="18"/>
      <c r="E36" s="10"/>
      <c r="F36" s="10"/>
    </row>
    <row r="37" spans="1:6">
      <c r="A37" s="3" t="s">
        <v>351</v>
      </c>
      <c r="B37" s="4"/>
      <c r="C37" s="4"/>
      <c r="D37" s="4"/>
      <c r="E37" s="4"/>
      <c r="F37" s="4"/>
    </row>
    <row r="38" spans="1:6">
      <c r="A38" s="6" t="s">
        <v>351</v>
      </c>
      <c r="B38" s="8" t="s">
        <v>410</v>
      </c>
      <c r="C38" s="10"/>
      <c r="D38" s="18"/>
      <c r="E38" s="10"/>
      <c r="F38" s="10"/>
    </row>
    <row r="39" spans="1:6">
      <c r="A39" s="6" t="s">
        <v>351</v>
      </c>
      <c r="B39" s="8" t="s">
        <v>411</v>
      </c>
      <c r="C39" s="10"/>
      <c r="D39" s="18"/>
      <c r="E39" s="10"/>
      <c r="F39" s="10"/>
    </row>
    <row r="40" spans="1:6">
      <c r="A40" s="6" t="s">
        <v>351</v>
      </c>
      <c r="B40" s="8" t="s">
        <v>412</v>
      </c>
      <c r="C40" s="10"/>
      <c r="D40" s="18"/>
      <c r="E40" s="10"/>
      <c r="F40" s="10"/>
    </row>
    <row r="41" spans="1:6">
      <c r="A41" s="3" t="s">
        <v>356</v>
      </c>
      <c r="B41" s="4"/>
      <c r="C41" s="4"/>
      <c r="D41" s="4"/>
      <c r="E41" s="4"/>
      <c r="F41" s="4"/>
    </row>
    <row r="42" spans="1:6">
      <c r="A42" s="6" t="s">
        <v>356</v>
      </c>
      <c r="B42" s="8" t="s">
        <v>413</v>
      </c>
      <c r="C42" s="10"/>
      <c r="D42" s="18"/>
      <c r="E42" s="10"/>
      <c r="F42" s="10"/>
    </row>
    <row r="43" spans="1:6">
      <c r="A43" s="6" t="s">
        <v>356</v>
      </c>
      <c r="B43" s="8" t="s">
        <v>414</v>
      </c>
      <c r="C43" s="10"/>
      <c r="D43" s="18"/>
      <c r="E43" s="10"/>
      <c r="F43" s="10"/>
    </row>
    <row r="44" spans="1:6">
      <c r="A44" s="6" t="s">
        <v>356</v>
      </c>
      <c r="B44" s="8" t="s">
        <v>415</v>
      </c>
      <c r="C44" s="10"/>
      <c r="D44" s="18"/>
      <c r="E44" s="10"/>
      <c r="F44" s="10"/>
    </row>
    <row r="46" spans="1:6">
      <c r="A46" s="13" t="s">
        <v>416</v>
      </c>
    </row>
  </sheetData>
  <sheetProtection sheet="1" formatCells="0" formatColumns="0" formatRows="0"/>
  <dataValidations count="1">
    <dataValidation type="list" allowBlank="1" sqref="C6 C7 C8 C9 C10 C11 C12 C13 C14 C15 C16 C17 C18 C19 C20 C21 C22 C23 C24 C25 C26 C27 C28 C29 C30 C31 C32 C33 C34 C35 C36 C37 C38 C39 C40 C41 C42 C43 C44" xr:uid="{00000000-0002-0000-0F00-000000000000}">
      <formula1>"Yes,No,Not needed"</formula1>
    </dataValidation>
  </dataValidation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2F5D50"/>
  </sheetPr>
  <dimension ref="A1:L30"/>
  <sheetViews>
    <sheetView showGridLines="0" workbookViewId="0">
      <pane xSplit="1" ySplit="5" topLeftCell="B6" activePane="bottomRight" state="frozen"/>
      <selection pane="topRight"/>
      <selection pane="bottomLeft"/>
      <selection pane="bottomRight"/>
    </sheetView>
  </sheetViews>
  <sheetFormatPr defaultRowHeight="15"/>
  <cols>
    <col min="1" max="1" width="26" customWidth="1"/>
    <col min="2" max="2" width="28" customWidth="1"/>
    <col min="3" max="3" width="10" customWidth="1"/>
    <col min="4" max="7" width="16" customWidth="1"/>
    <col min="8" max="8" width="18" customWidth="1"/>
    <col min="9" max="9" width="22" customWidth="1"/>
    <col min="10" max="10" width="14" customWidth="1"/>
    <col min="11" max="12" width="12" customWidth="1"/>
  </cols>
  <sheetData>
    <row r="1" spans="1:12" ht="19.5">
      <c r="A1" s="1" t="s">
        <v>417</v>
      </c>
    </row>
    <row r="2" spans="1:12">
      <c r="A2" s="2" t="s">
        <v>418</v>
      </c>
    </row>
    <row r="5" spans="1:12" ht="33.950000000000003" customHeight="1">
      <c r="A5" s="5" t="s">
        <v>419</v>
      </c>
      <c r="B5" s="5" t="s">
        <v>327</v>
      </c>
      <c r="C5" s="5" t="s">
        <v>420</v>
      </c>
      <c r="D5" s="5" t="s">
        <v>421</v>
      </c>
      <c r="E5" s="5" t="s">
        <v>278</v>
      </c>
      <c r="F5" s="5" t="s">
        <v>422</v>
      </c>
      <c r="G5" s="5" t="s">
        <v>423</v>
      </c>
      <c r="H5" s="5" t="s">
        <v>424</v>
      </c>
      <c r="I5" s="5" t="s">
        <v>425</v>
      </c>
      <c r="J5" s="5" t="s">
        <v>426</v>
      </c>
      <c r="K5" s="5" t="s">
        <v>427</v>
      </c>
      <c r="L5" s="5" t="s">
        <v>428</v>
      </c>
    </row>
    <row r="6" spans="1:12">
      <c r="A6" s="9" t="s">
        <v>429</v>
      </c>
      <c r="B6" s="13" t="s">
        <v>333</v>
      </c>
      <c r="C6" s="13" t="s">
        <v>430</v>
      </c>
      <c r="D6" s="21">
        <f>Concrete!B25</f>
        <v>167</v>
      </c>
      <c r="E6" s="17">
        <v>0</v>
      </c>
      <c r="F6" s="21">
        <f t="shared" ref="F6:F18" si="0">ROUNDUP(D6*(1+E6),0)</f>
        <v>167</v>
      </c>
      <c r="G6" s="24">
        <f>Rates!$C$6</f>
        <v>0</v>
      </c>
      <c r="H6" s="24">
        <f t="shared" ref="H6:H18" si="1">F6*G6</f>
        <v>0</v>
      </c>
      <c r="I6" s="10"/>
      <c r="J6" s="18"/>
      <c r="K6" s="10"/>
      <c r="L6" s="10"/>
    </row>
    <row r="7" spans="1:12">
      <c r="A7" s="9" t="s">
        <v>431</v>
      </c>
      <c r="B7" s="13" t="s">
        <v>333</v>
      </c>
      <c r="C7" s="13" t="s">
        <v>432</v>
      </c>
      <c r="D7" s="21">
        <f>Concrete!B26</f>
        <v>415.8</v>
      </c>
      <c r="E7" s="17">
        <v>0.1</v>
      </c>
      <c r="F7" s="21">
        <f t="shared" si="0"/>
        <v>458</v>
      </c>
      <c r="G7" s="24">
        <f>Rates!$C$7</f>
        <v>0</v>
      </c>
      <c r="H7" s="24">
        <f t="shared" si="1"/>
        <v>0</v>
      </c>
      <c r="I7" s="10"/>
      <c r="J7" s="18"/>
      <c r="K7" s="10"/>
      <c r="L7" s="10"/>
    </row>
    <row r="8" spans="1:12">
      <c r="A8" s="9" t="s">
        <v>433</v>
      </c>
      <c r="B8" s="13" t="s">
        <v>333</v>
      </c>
      <c r="C8" s="13" t="s">
        <v>432</v>
      </c>
      <c r="D8" s="21">
        <f>Concrete!B27</f>
        <v>831.6</v>
      </c>
      <c r="E8" s="17">
        <v>0.05</v>
      </c>
      <c r="F8" s="21">
        <f t="shared" si="0"/>
        <v>874</v>
      </c>
      <c r="G8" s="24">
        <f>Rates!$C$8</f>
        <v>0</v>
      </c>
      <c r="H8" s="24">
        <f t="shared" si="1"/>
        <v>0</v>
      </c>
      <c r="I8" s="10"/>
      <c r="J8" s="18"/>
      <c r="K8" s="10"/>
      <c r="L8" s="10"/>
    </row>
    <row r="9" spans="1:12">
      <c r="A9" s="9" t="s">
        <v>434</v>
      </c>
      <c r="B9" s="13" t="s">
        <v>333</v>
      </c>
      <c r="C9" s="13" t="s">
        <v>435</v>
      </c>
      <c r="D9" s="21">
        <f>Steel!D6</f>
        <v>237.03703703703701</v>
      </c>
      <c r="E9" s="17">
        <v>0.05</v>
      </c>
      <c r="F9" s="21">
        <f t="shared" si="0"/>
        <v>249</v>
      </c>
      <c r="G9" s="24">
        <f>Rates!$C$11</f>
        <v>0</v>
      </c>
      <c r="H9" s="24">
        <f t="shared" si="1"/>
        <v>0</v>
      </c>
      <c r="I9" s="10"/>
      <c r="J9" s="18"/>
      <c r="K9" s="10"/>
      <c r="L9" s="10"/>
    </row>
    <row r="10" spans="1:12">
      <c r="A10" s="9" t="s">
        <v>436</v>
      </c>
      <c r="B10" s="13" t="s">
        <v>333</v>
      </c>
      <c r="C10" s="13" t="s">
        <v>435</v>
      </c>
      <c r="D10" s="21">
        <f>Steel!D7</f>
        <v>370.37037037037032</v>
      </c>
      <c r="E10" s="17">
        <v>0.05</v>
      </c>
      <c r="F10" s="21">
        <f t="shared" si="0"/>
        <v>389</v>
      </c>
      <c r="G10" s="24">
        <f>Rates!$C$11</f>
        <v>0</v>
      </c>
      <c r="H10" s="24">
        <f t="shared" si="1"/>
        <v>0</v>
      </c>
      <c r="I10" s="10"/>
      <c r="J10" s="18"/>
      <c r="K10" s="10"/>
      <c r="L10" s="10"/>
    </row>
    <row r="11" spans="1:12">
      <c r="A11" s="9" t="s">
        <v>437</v>
      </c>
      <c r="B11" s="13" t="s">
        <v>333</v>
      </c>
      <c r="C11" s="13" t="s">
        <v>435</v>
      </c>
      <c r="D11" s="21">
        <f>Steel!D8</f>
        <v>1066.6666666666665</v>
      </c>
      <c r="E11" s="17">
        <v>0.05</v>
      </c>
      <c r="F11" s="21">
        <f t="shared" si="0"/>
        <v>1120</v>
      </c>
      <c r="G11" s="24">
        <f>Rates!$C$11</f>
        <v>0</v>
      </c>
      <c r="H11" s="24">
        <f t="shared" si="1"/>
        <v>0</v>
      </c>
      <c r="I11" s="10"/>
      <c r="J11" s="18"/>
      <c r="K11" s="10"/>
      <c r="L11" s="10"/>
    </row>
    <row r="12" spans="1:12">
      <c r="A12" s="9" t="s">
        <v>438</v>
      </c>
      <c r="B12" s="13" t="s">
        <v>333</v>
      </c>
      <c r="C12" s="13" t="s">
        <v>435</v>
      </c>
      <c r="D12" s="21">
        <f>Steel!D9</f>
        <v>1896.2962962962961</v>
      </c>
      <c r="E12" s="17">
        <v>0.05</v>
      </c>
      <c r="F12" s="21">
        <f t="shared" si="0"/>
        <v>1992</v>
      </c>
      <c r="G12" s="24">
        <f>Rates!$C$11</f>
        <v>0</v>
      </c>
      <c r="H12" s="24">
        <f t="shared" si="1"/>
        <v>0</v>
      </c>
      <c r="I12" s="10"/>
      <c r="J12" s="18"/>
      <c r="K12" s="10"/>
      <c r="L12" s="10"/>
    </row>
    <row r="13" spans="1:12">
      <c r="A13" s="9" t="s">
        <v>439</v>
      </c>
      <c r="B13" s="13" t="s">
        <v>333</v>
      </c>
      <c r="C13" s="13" t="s">
        <v>435</v>
      </c>
      <c r="D13" s="21">
        <f>Steel!D10</f>
        <v>1185.185185185185</v>
      </c>
      <c r="E13" s="17">
        <v>0.05</v>
      </c>
      <c r="F13" s="21">
        <f t="shared" si="0"/>
        <v>1245</v>
      </c>
      <c r="G13" s="24">
        <f>Rates!$C$11</f>
        <v>0</v>
      </c>
      <c r="H13" s="24">
        <f t="shared" si="1"/>
        <v>0</v>
      </c>
      <c r="I13" s="10"/>
      <c r="J13" s="18"/>
      <c r="K13" s="10"/>
      <c r="L13" s="10"/>
    </row>
    <row r="14" spans="1:12">
      <c r="A14" s="9" t="s">
        <v>440</v>
      </c>
      <c r="B14" s="13" t="s">
        <v>336</v>
      </c>
      <c r="C14" s="13" t="s">
        <v>441</v>
      </c>
      <c r="D14" s="21">
        <f>'Bricks &amp; Blocks'!B21</f>
        <v>15571</v>
      </c>
      <c r="E14" s="17">
        <v>0</v>
      </c>
      <c r="F14" s="21">
        <f t="shared" si="0"/>
        <v>15571</v>
      </c>
      <c r="G14" s="24">
        <f>Rates!$C$9</f>
        <v>0</v>
      </c>
      <c r="H14" s="24">
        <f t="shared" si="1"/>
        <v>0</v>
      </c>
      <c r="I14" s="10"/>
      <c r="J14" s="18"/>
      <c r="K14" s="10"/>
      <c r="L14" s="10"/>
    </row>
    <row r="15" spans="1:12">
      <c r="A15" s="9" t="s">
        <v>442</v>
      </c>
      <c r="B15" s="13" t="s">
        <v>339</v>
      </c>
      <c r="C15" s="13" t="s">
        <v>443</v>
      </c>
      <c r="D15" s="21">
        <f>'Paint &amp; Tiles'!B41</f>
        <v>271</v>
      </c>
      <c r="E15" s="17">
        <v>0</v>
      </c>
      <c r="F15" s="21">
        <f t="shared" si="0"/>
        <v>271</v>
      </c>
      <c r="G15" s="24">
        <f>Rates!$C$13*('Paint &amp; Tiles'!$B$32/304.8)*('Paint &amp; Tiles'!$B$33/304.8)</f>
        <v>0</v>
      </c>
      <c r="H15" s="24">
        <f t="shared" si="1"/>
        <v>0</v>
      </c>
      <c r="I15" s="10"/>
      <c r="J15" s="18"/>
      <c r="K15" s="10"/>
      <c r="L15" s="10"/>
    </row>
    <row r="16" spans="1:12">
      <c r="A16" s="9" t="s">
        <v>444</v>
      </c>
      <c r="B16" s="13" t="s">
        <v>341</v>
      </c>
      <c r="C16" s="13" t="s">
        <v>445</v>
      </c>
      <c r="D16" s="21">
        <f>'Paint &amp; Tiles'!B38</f>
        <v>77</v>
      </c>
      <c r="E16" s="17">
        <v>0</v>
      </c>
      <c r="F16" s="21">
        <f t="shared" si="0"/>
        <v>77</v>
      </c>
      <c r="G16" s="24">
        <f>Rates!$C$12</f>
        <v>0</v>
      </c>
      <c r="H16" s="24">
        <f t="shared" si="1"/>
        <v>0</v>
      </c>
      <c r="I16" s="10"/>
      <c r="J16" s="18"/>
      <c r="K16" s="10"/>
      <c r="L16" s="10"/>
    </row>
    <row r="17" spans="1:12">
      <c r="A17" s="9" t="s">
        <v>446</v>
      </c>
      <c r="B17" s="13" t="s">
        <v>336</v>
      </c>
      <c r="C17" s="13" t="s">
        <v>430</v>
      </c>
      <c r="D17" s="21">
        <f>Plaster!B19</f>
        <v>28</v>
      </c>
      <c r="E17" s="17">
        <v>0</v>
      </c>
      <c r="F17" s="21">
        <f t="shared" si="0"/>
        <v>28</v>
      </c>
      <c r="G17" s="24">
        <f>Rates!$C$6</f>
        <v>0</v>
      </c>
      <c r="H17" s="24">
        <f t="shared" si="1"/>
        <v>0</v>
      </c>
      <c r="I17" s="10"/>
      <c r="J17" s="18"/>
      <c r="K17" s="10"/>
      <c r="L17" s="10"/>
    </row>
    <row r="18" spans="1:12">
      <c r="A18" s="9" t="s">
        <v>447</v>
      </c>
      <c r="B18" s="13" t="s">
        <v>336</v>
      </c>
      <c r="C18" s="13" t="s">
        <v>432</v>
      </c>
      <c r="D18" s="21">
        <f>Plaster!B20</f>
        <v>208.65428571428575</v>
      </c>
      <c r="E18" s="17">
        <v>0</v>
      </c>
      <c r="F18" s="21">
        <f t="shared" si="0"/>
        <v>209</v>
      </c>
      <c r="G18" s="24">
        <f>Rates!$C$7</f>
        <v>0</v>
      </c>
      <c r="H18" s="24">
        <f t="shared" si="1"/>
        <v>0</v>
      </c>
      <c r="I18" s="10"/>
      <c r="J18" s="18"/>
      <c r="K18" s="10"/>
      <c r="L18" s="10"/>
    </row>
    <row r="19" spans="1:12">
      <c r="A19" s="10"/>
      <c r="B19" s="10"/>
      <c r="C19" s="10"/>
      <c r="D19" s="10"/>
      <c r="E19" s="10"/>
      <c r="F19" s="29" t="str">
        <f t="shared" ref="F19:F24" si="2">IF(D19="","",ROUNDUP(D19*(1+IF(E19="",0,E19)),0))</f>
        <v/>
      </c>
      <c r="G19" s="12"/>
      <c r="H19" s="16" t="str">
        <f t="shared" ref="H19:H24" si="3">IF(OR(F19="",G19=""),"",F19*G19)</f>
        <v/>
      </c>
      <c r="I19" s="10"/>
      <c r="J19" s="18"/>
      <c r="K19" s="10"/>
      <c r="L19" s="10"/>
    </row>
    <row r="20" spans="1:12">
      <c r="A20" s="10"/>
      <c r="B20" s="10"/>
      <c r="C20" s="10"/>
      <c r="D20" s="10"/>
      <c r="E20" s="10"/>
      <c r="F20" s="29" t="str">
        <f t="shared" si="2"/>
        <v/>
      </c>
      <c r="G20" s="12"/>
      <c r="H20" s="16" t="str">
        <f t="shared" si="3"/>
        <v/>
      </c>
      <c r="I20" s="10"/>
      <c r="J20" s="18"/>
      <c r="K20" s="10"/>
      <c r="L20" s="10"/>
    </row>
    <row r="21" spans="1:12">
      <c r="A21" s="10"/>
      <c r="B21" s="10"/>
      <c r="C21" s="10"/>
      <c r="D21" s="10"/>
      <c r="E21" s="10"/>
      <c r="F21" s="29" t="str">
        <f t="shared" si="2"/>
        <v/>
      </c>
      <c r="G21" s="12"/>
      <c r="H21" s="16" t="str">
        <f t="shared" si="3"/>
        <v/>
      </c>
      <c r="I21" s="10"/>
      <c r="J21" s="18"/>
      <c r="K21" s="10"/>
      <c r="L21" s="10"/>
    </row>
    <row r="22" spans="1:12">
      <c r="A22" s="10"/>
      <c r="B22" s="10"/>
      <c r="C22" s="10"/>
      <c r="D22" s="10"/>
      <c r="E22" s="10"/>
      <c r="F22" s="29" t="str">
        <f t="shared" si="2"/>
        <v/>
      </c>
      <c r="G22" s="12"/>
      <c r="H22" s="16" t="str">
        <f t="shared" si="3"/>
        <v/>
      </c>
      <c r="I22" s="10"/>
      <c r="J22" s="18"/>
      <c r="K22" s="10"/>
      <c r="L22" s="10"/>
    </row>
    <row r="23" spans="1:12">
      <c r="A23" s="10"/>
      <c r="B23" s="10"/>
      <c r="C23" s="10"/>
      <c r="D23" s="10"/>
      <c r="E23" s="10"/>
      <c r="F23" s="29" t="str">
        <f t="shared" si="2"/>
        <v/>
      </c>
      <c r="G23" s="12"/>
      <c r="H23" s="16" t="str">
        <f t="shared" si="3"/>
        <v/>
      </c>
      <c r="I23" s="10"/>
      <c r="J23" s="18"/>
      <c r="K23" s="10"/>
      <c r="L23" s="10"/>
    </row>
    <row r="24" spans="1:12">
      <c r="A24" s="10"/>
      <c r="B24" s="10"/>
      <c r="C24" s="10"/>
      <c r="D24" s="10"/>
      <c r="E24" s="10"/>
      <c r="F24" s="29" t="str">
        <f t="shared" si="2"/>
        <v/>
      </c>
      <c r="G24" s="12"/>
      <c r="H24" s="16" t="str">
        <f t="shared" si="3"/>
        <v/>
      </c>
      <c r="I24" s="10"/>
      <c r="J24" s="18"/>
      <c r="K24" s="10"/>
      <c r="L24" s="10"/>
    </row>
    <row r="25" spans="1:12">
      <c r="A25" s="9" t="s">
        <v>448</v>
      </c>
      <c r="H25" s="24">
        <f>SUM(H6:H24)</f>
        <v>0</v>
      </c>
    </row>
    <row r="27" spans="1:12">
      <c r="A27" s="13" t="s">
        <v>449</v>
      </c>
    </row>
    <row r="28" spans="1:12">
      <c r="A28" s="13" t="s">
        <v>450</v>
      </c>
    </row>
    <row r="29" spans="1:12">
      <c r="A29" s="13" t="s">
        <v>451</v>
      </c>
    </row>
    <row r="30" spans="1:12">
      <c r="A30" s="13" t="s">
        <v>452</v>
      </c>
    </row>
  </sheetData>
  <sheetProtection sheet="1" formatCells="0" formatColumns="0" formatRows="0"/>
  <dataValidations count="1">
    <dataValidation type="list" allowBlank="1" sqref="K6:L24" xr:uid="{00000000-0002-0000-1000-000000000000}">
      <formula1>"Yes,No"</formula1>
    </dataValidation>
  </dataValidation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2F5D50"/>
  </sheetPr>
  <dimension ref="A1:L48"/>
  <sheetViews>
    <sheetView showGridLines="0" workbookViewId="0">
      <pane ySplit="5" topLeftCell="A6" activePane="bottomLeft" state="frozen"/>
      <selection pane="bottomLeft"/>
    </sheetView>
  </sheetViews>
  <sheetFormatPr defaultRowHeight="15"/>
  <cols>
    <col min="1" max="1" width="34" customWidth="1"/>
    <col min="2" max="2" width="30" customWidth="1"/>
    <col min="3" max="3" width="16" customWidth="1"/>
    <col min="4" max="4" width="24" customWidth="1"/>
    <col min="5" max="6" width="14" customWidth="1"/>
    <col min="7" max="7" width="12" customWidth="1"/>
    <col min="8" max="8" width="14" customWidth="1"/>
    <col min="9" max="9" width="12" customWidth="1"/>
    <col min="11" max="11" width="22" customWidth="1"/>
    <col min="12" max="12" width="10" customWidth="1"/>
  </cols>
  <sheetData>
    <row r="1" spans="1:12" ht="19.5">
      <c r="A1" s="1" t="s">
        <v>453</v>
      </c>
    </row>
    <row r="2" spans="1:12">
      <c r="A2" s="2" t="s">
        <v>454</v>
      </c>
    </row>
    <row r="5" spans="1:12" ht="33.950000000000003" customHeight="1">
      <c r="A5" s="5" t="s">
        <v>455</v>
      </c>
      <c r="B5" s="5" t="s">
        <v>327</v>
      </c>
      <c r="C5" s="5" t="s">
        <v>456</v>
      </c>
      <c r="D5" s="5" t="s">
        <v>457</v>
      </c>
      <c r="E5" s="5" t="s">
        <v>141</v>
      </c>
      <c r="F5" s="5" t="s">
        <v>458</v>
      </c>
      <c r="G5" s="5" t="s">
        <v>459</v>
      </c>
      <c r="H5" s="5" t="s">
        <v>326</v>
      </c>
      <c r="I5" s="5" t="s">
        <v>460</v>
      </c>
      <c r="K5" s="9" t="s">
        <v>461</v>
      </c>
    </row>
    <row r="6" spans="1:12">
      <c r="A6" s="10" t="s">
        <v>462</v>
      </c>
      <c r="B6" s="10"/>
      <c r="C6" s="10" t="s">
        <v>463</v>
      </c>
      <c r="D6" s="10" t="s">
        <v>464</v>
      </c>
      <c r="E6" s="18"/>
      <c r="F6" s="18"/>
      <c r="G6" s="10" t="s">
        <v>465</v>
      </c>
      <c r="H6" s="10" t="s">
        <v>466</v>
      </c>
      <c r="I6" s="21" t="str">
        <f t="shared" ref="I6:I45" ca="1" si="0">IF(F6="","",F6-TODAY())</f>
        <v/>
      </c>
      <c r="K6" s="13" t="s">
        <v>466</v>
      </c>
      <c r="L6" s="21">
        <f>COUNTIF($H$6:$H$45,K6)</f>
        <v>12</v>
      </c>
    </row>
    <row r="7" spans="1:12">
      <c r="A7" s="10" t="s">
        <v>467</v>
      </c>
      <c r="B7" s="10"/>
      <c r="C7" s="10" t="s">
        <v>463</v>
      </c>
      <c r="D7" s="10" t="s">
        <v>468</v>
      </c>
      <c r="E7" s="18"/>
      <c r="F7" s="18"/>
      <c r="G7" s="10" t="s">
        <v>465</v>
      </c>
      <c r="H7" s="10" t="s">
        <v>466</v>
      </c>
      <c r="I7" s="21" t="str">
        <f t="shared" ca="1" si="0"/>
        <v/>
      </c>
      <c r="K7" s="13" t="s">
        <v>469</v>
      </c>
      <c r="L7" s="21">
        <f>COUNTIF($H$6:$H$45,K7)</f>
        <v>0</v>
      </c>
    </row>
    <row r="8" spans="1:12">
      <c r="A8" s="10" t="s">
        <v>470</v>
      </c>
      <c r="B8" s="10"/>
      <c r="C8" s="10" t="s">
        <v>463</v>
      </c>
      <c r="D8" s="10" t="s">
        <v>471</v>
      </c>
      <c r="E8" s="18"/>
      <c r="F8" s="18"/>
      <c r="G8" s="10" t="s">
        <v>465</v>
      </c>
      <c r="H8" s="10" t="s">
        <v>466</v>
      </c>
      <c r="I8" s="21" t="str">
        <f t="shared" ca="1" si="0"/>
        <v/>
      </c>
      <c r="K8" s="13" t="s">
        <v>472</v>
      </c>
      <c r="L8" s="21">
        <f>COUNTIF($H$6:$H$45,K8)</f>
        <v>0</v>
      </c>
    </row>
    <row r="9" spans="1:12">
      <c r="A9" s="10" t="s">
        <v>473</v>
      </c>
      <c r="B9" s="10"/>
      <c r="C9" s="10" t="s">
        <v>463</v>
      </c>
      <c r="D9" s="10" t="s">
        <v>464</v>
      </c>
      <c r="E9" s="18"/>
      <c r="F9" s="18"/>
      <c r="G9" s="10" t="s">
        <v>465</v>
      </c>
      <c r="H9" s="10" t="s">
        <v>466</v>
      </c>
      <c r="I9" s="21" t="str">
        <f t="shared" ca="1" si="0"/>
        <v/>
      </c>
      <c r="K9" s="13" t="s">
        <v>474</v>
      </c>
      <c r="L9" s="21">
        <f>COUNTIF($H$6:$H$45,K9)</f>
        <v>0</v>
      </c>
    </row>
    <row r="10" spans="1:12">
      <c r="A10" s="10" t="s">
        <v>475</v>
      </c>
      <c r="B10" s="10"/>
      <c r="C10" s="10" t="s">
        <v>463</v>
      </c>
      <c r="D10" s="10" t="s">
        <v>476</v>
      </c>
      <c r="E10" s="18"/>
      <c r="F10" s="18"/>
      <c r="G10" s="10" t="s">
        <v>465</v>
      </c>
      <c r="H10" s="10" t="s">
        <v>466</v>
      </c>
      <c r="I10" s="21" t="str">
        <f t="shared" ca="1" si="0"/>
        <v/>
      </c>
      <c r="K10" s="9" t="s">
        <v>477</v>
      </c>
      <c r="L10" s="21">
        <f ca="1">COUNTIFS($I$6:$I$45,"&lt;0",$H$6:$H$45,"&lt;&gt;Done")</f>
        <v>0</v>
      </c>
    </row>
    <row r="11" spans="1:12">
      <c r="A11" s="10" t="s">
        <v>478</v>
      </c>
      <c r="B11" s="10"/>
      <c r="C11" s="10" t="s">
        <v>463</v>
      </c>
      <c r="D11" s="10" t="s">
        <v>479</v>
      </c>
      <c r="E11" s="18"/>
      <c r="F11" s="18"/>
      <c r="G11" s="10" t="s">
        <v>480</v>
      </c>
      <c r="H11" s="10" t="s">
        <v>466</v>
      </c>
      <c r="I11" s="21" t="str">
        <f t="shared" ca="1" si="0"/>
        <v/>
      </c>
    </row>
    <row r="12" spans="1:12">
      <c r="A12" s="10" t="s">
        <v>481</v>
      </c>
      <c r="B12" s="10"/>
      <c r="C12" s="10" t="s">
        <v>482</v>
      </c>
      <c r="D12" s="10" t="s">
        <v>483</v>
      </c>
      <c r="E12" s="18"/>
      <c r="F12" s="18"/>
      <c r="G12" s="10" t="s">
        <v>480</v>
      </c>
      <c r="H12" s="10" t="s">
        <v>466</v>
      </c>
      <c r="I12" s="21" t="str">
        <f t="shared" ca="1" si="0"/>
        <v/>
      </c>
    </row>
    <row r="13" spans="1:12">
      <c r="A13" s="10" t="s">
        <v>484</v>
      </c>
      <c r="B13" s="10"/>
      <c r="C13" s="10" t="s">
        <v>463</v>
      </c>
      <c r="D13" s="10" t="s">
        <v>485</v>
      </c>
      <c r="E13" s="18"/>
      <c r="F13" s="18"/>
      <c r="G13" s="10" t="s">
        <v>480</v>
      </c>
      <c r="H13" s="10" t="s">
        <v>466</v>
      </c>
      <c r="I13" s="21" t="str">
        <f t="shared" ca="1" si="0"/>
        <v/>
      </c>
    </row>
    <row r="14" spans="1:12">
      <c r="A14" s="10" t="s">
        <v>486</v>
      </c>
      <c r="B14" s="10"/>
      <c r="C14" s="10" t="s">
        <v>482</v>
      </c>
      <c r="D14" s="10" t="s">
        <v>487</v>
      </c>
      <c r="E14" s="18"/>
      <c r="F14" s="18"/>
      <c r="G14" s="10" t="s">
        <v>465</v>
      </c>
      <c r="H14" s="10" t="s">
        <v>466</v>
      </c>
      <c r="I14" s="21" t="str">
        <f t="shared" ca="1" si="0"/>
        <v/>
      </c>
    </row>
    <row r="15" spans="1:12">
      <c r="A15" s="10" t="s">
        <v>488</v>
      </c>
      <c r="B15" s="10"/>
      <c r="C15" s="10" t="s">
        <v>463</v>
      </c>
      <c r="D15" s="10" t="s">
        <v>464</v>
      </c>
      <c r="E15" s="18"/>
      <c r="F15" s="18"/>
      <c r="G15" s="10" t="s">
        <v>480</v>
      </c>
      <c r="H15" s="10" t="s">
        <v>466</v>
      </c>
      <c r="I15" s="21" t="str">
        <f t="shared" ca="1" si="0"/>
        <v/>
      </c>
    </row>
    <row r="16" spans="1:12">
      <c r="A16" s="10" t="s">
        <v>489</v>
      </c>
      <c r="B16" s="10"/>
      <c r="C16" s="10" t="s">
        <v>463</v>
      </c>
      <c r="D16" s="10" t="s">
        <v>490</v>
      </c>
      <c r="E16" s="18"/>
      <c r="F16" s="18"/>
      <c r="G16" s="10" t="s">
        <v>491</v>
      </c>
      <c r="H16" s="10" t="s">
        <v>466</v>
      </c>
      <c r="I16" s="21" t="str">
        <f t="shared" ca="1" si="0"/>
        <v/>
      </c>
    </row>
    <row r="17" spans="1:9">
      <c r="A17" s="10" t="s">
        <v>492</v>
      </c>
      <c r="B17" s="10"/>
      <c r="C17" s="10" t="s">
        <v>463</v>
      </c>
      <c r="D17" s="10" t="s">
        <v>476</v>
      </c>
      <c r="E17" s="18"/>
      <c r="F17" s="18"/>
      <c r="G17" s="10" t="s">
        <v>465</v>
      </c>
      <c r="H17" s="10" t="s">
        <v>466</v>
      </c>
      <c r="I17" s="21" t="str">
        <f t="shared" ca="1" si="0"/>
        <v/>
      </c>
    </row>
    <row r="18" spans="1:9">
      <c r="A18" s="10"/>
      <c r="B18" s="10"/>
      <c r="C18" s="10"/>
      <c r="D18" s="10"/>
      <c r="E18" s="18"/>
      <c r="F18" s="18"/>
      <c r="G18" s="10"/>
      <c r="H18" s="10"/>
      <c r="I18" s="21" t="str">
        <f t="shared" ca="1" si="0"/>
        <v/>
      </c>
    </row>
    <row r="19" spans="1:9">
      <c r="A19" s="10"/>
      <c r="B19" s="10"/>
      <c r="C19" s="10"/>
      <c r="D19" s="10"/>
      <c r="E19" s="18"/>
      <c r="F19" s="18"/>
      <c r="G19" s="10"/>
      <c r="H19" s="10"/>
      <c r="I19" s="21" t="str">
        <f t="shared" ca="1" si="0"/>
        <v/>
      </c>
    </row>
    <row r="20" spans="1:9">
      <c r="A20" s="10"/>
      <c r="B20" s="10"/>
      <c r="C20" s="10"/>
      <c r="D20" s="10"/>
      <c r="E20" s="18"/>
      <c r="F20" s="18"/>
      <c r="G20" s="10"/>
      <c r="H20" s="10"/>
      <c r="I20" s="21" t="str">
        <f t="shared" ca="1" si="0"/>
        <v/>
      </c>
    </row>
    <row r="21" spans="1:9">
      <c r="A21" s="10"/>
      <c r="B21" s="10"/>
      <c r="C21" s="10"/>
      <c r="D21" s="10"/>
      <c r="E21" s="18"/>
      <c r="F21" s="18"/>
      <c r="G21" s="10"/>
      <c r="H21" s="10"/>
      <c r="I21" s="21" t="str">
        <f t="shared" ca="1" si="0"/>
        <v/>
      </c>
    </row>
    <row r="22" spans="1:9">
      <c r="A22" s="10"/>
      <c r="B22" s="10"/>
      <c r="C22" s="10"/>
      <c r="D22" s="10"/>
      <c r="E22" s="18"/>
      <c r="F22" s="18"/>
      <c r="G22" s="10"/>
      <c r="H22" s="10"/>
      <c r="I22" s="21" t="str">
        <f t="shared" ca="1" si="0"/>
        <v/>
      </c>
    </row>
    <row r="23" spans="1:9">
      <c r="A23" s="10"/>
      <c r="B23" s="10"/>
      <c r="C23" s="10"/>
      <c r="D23" s="10"/>
      <c r="E23" s="18"/>
      <c r="F23" s="18"/>
      <c r="G23" s="10"/>
      <c r="H23" s="10"/>
      <c r="I23" s="21" t="str">
        <f t="shared" ca="1" si="0"/>
        <v/>
      </c>
    </row>
    <row r="24" spans="1:9">
      <c r="A24" s="10"/>
      <c r="B24" s="10"/>
      <c r="C24" s="10"/>
      <c r="D24" s="10"/>
      <c r="E24" s="18"/>
      <c r="F24" s="18"/>
      <c r="G24" s="10"/>
      <c r="H24" s="10"/>
      <c r="I24" s="21" t="str">
        <f t="shared" ca="1" si="0"/>
        <v/>
      </c>
    </row>
    <row r="25" spans="1:9">
      <c r="A25" s="10"/>
      <c r="B25" s="10"/>
      <c r="C25" s="10"/>
      <c r="D25" s="10"/>
      <c r="E25" s="18"/>
      <c r="F25" s="18"/>
      <c r="G25" s="10"/>
      <c r="H25" s="10"/>
      <c r="I25" s="21" t="str">
        <f t="shared" ca="1" si="0"/>
        <v/>
      </c>
    </row>
    <row r="26" spans="1:9">
      <c r="A26" s="10"/>
      <c r="B26" s="10"/>
      <c r="C26" s="10"/>
      <c r="D26" s="10"/>
      <c r="E26" s="18"/>
      <c r="F26" s="18"/>
      <c r="G26" s="10"/>
      <c r="H26" s="10"/>
      <c r="I26" s="21" t="str">
        <f t="shared" ca="1" si="0"/>
        <v/>
      </c>
    </row>
    <row r="27" spans="1:9">
      <c r="A27" s="10"/>
      <c r="B27" s="10"/>
      <c r="C27" s="10"/>
      <c r="D27" s="10"/>
      <c r="E27" s="18"/>
      <c r="F27" s="18"/>
      <c r="G27" s="10"/>
      <c r="H27" s="10"/>
      <c r="I27" s="21" t="str">
        <f t="shared" ca="1" si="0"/>
        <v/>
      </c>
    </row>
    <row r="28" spans="1:9">
      <c r="A28" s="10"/>
      <c r="B28" s="10"/>
      <c r="C28" s="10"/>
      <c r="D28" s="10"/>
      <c r="E28" s="18"/>
      <c r="F28" s="18"/>
      <c r="G28" s="10"/>
      <c r="H28" s="10"/>
      <c r="I28" s="21" t="str">
        <f t="shared" ca="1" si="0"/>
        <v/>
      </c>
    </row>
    <row r="29" spans="1:9">
      <c r="A29" s="10"/>
      <c r="B29" s="10"/>
      <c r="C29" s="10"/>
      <c r="D29" s="10"/>
      <c r="E29" s="18"/>
      <c r="F29" s="18"/>
      <c r="G29" s="10"/>
      <c r="H29" s="10"/>
      <c r="I29" s="21" t="str">
        <f t="shared" ca="1" si="0"/>
        <v/>
      </c>
    </row>
    <row r="30" spans="1:9">
      <c r="A30" s="10"/>
      <c r="B30" s="10"/>
      <c r="C30" s="10"/>
      <c r="D30" s="10"/>
      <c r="E30" s="18"/>
      <c r="F30" s="18"/>
      <c r="G30" s="10"/>
      <c r="H30" s="10"/>
      <c r="I30" s="21" t="str">
        <f t="shared" ca="1" si="0"/>
        <v/>
      </c>
    </row>
    <row r="31" spans="1:9">
      <c r="A31" s="10"/>
      <c r="B31" s="10"/>
      <c r="C31" s="10"/>
      <c r="D31" s="10"/>
      <c r="E31" s="18"/>
      <c r="F31" s="18"/>
      <c r="G31" s="10"/>
      <c r="H31" s="10"/>
      <c r="I31" s="21" t="str">
        <f t="shared" ca="1" si="0"/>
        <v/>
      </c>
    </row>
    <row r="32" spans="1:9">
      <c r="A32" s="10"/>
      <c r="B32" s="10"/>
      <c r="C32" s="10"/>
      <c r="D32" s="10"/>
      <c r="E32" s="18"/>
      <c r="F32" s="18"/>
      <c r="G32" s="10"/>
      <c r="H32" s="10"/>
      <c r="I32" s="21" t="str">
        <f t="shared" ca="1" si="0"/>
        <v/>
      </c>
    </row>
    <row r="33" spans="1:9">
      <c r="A33" s="10"/>
      <c r="B33" s="10"/>
      <c r="C33" s="10"/>
      <c r="D33" s="10"/>
      <c r="E33" s="18"/>
      <c r="F33" s="18"/>
      <c r="G33" s="10"/>
      <c r="H33" s="10"/>
      <c r="I33" s="21" t="str">
        <f t="shared" ca="1" si="0"/>
        <v/>
      </c>
    </row>
    <row r="34" spans="1:9">
      <c r="A34" s="10"/>
      <c r="B34" s="10"/>
      <c r="C34" s="10"/>
      <c r="D34" s="10"/>
      <c r="E34" s="18"/>
      <c r="F34" s="18"/>
      <c r="G34" s="10"/>
      <c r="H34" s="10"/>
      <c r="I34" s="21" t="str">
        <f t="shared" ca="1" si="0"/>
        <v/>
      </c>
    </row>
    <row r="35" spans="1:9">
      <c r="A35" s="10"/>
      <c r="B35" s="10"/>
      <c r="C35" s="10"/>
      <c r="D35" s="10"/>
      <c r="E35" s="18"/>
      <c r="F35" s="18"/>
      <c r="G35" s="10"/>
      <c r="H35" s="10"/>
      <c r="I35" s="21" t="str">
        <f t="shared" ca="1" si="0"/>
        <v/>
      </c>
    </row>
    <row r="36" spans="1:9">
      <c r="A36" s="10"/>
      <c r="B36" s="10"/>
      <c r="C36" s="10"/>
      <c r="D36" s="10"/>
      <c r="E36" s="18"/>
      <c r="F36" s="18"/>
      <c r="G36" s="10"/>
      <c r="H36" s="10"/>
      <c r="I36" s="21" t="str">
        <f t="shared" ca="1" si="0"/>
        <v/>
      </c>
    </row>
    <row r="37" spans="1:9">
      <c r="A37" s="10"/>
      <c r="B37" s="10"/>
      <c r="C37" s="10"/>
      <c r="D37" s="10"/>
      <c r="E37" s="18"/>
      <c r="F37" s="18"/>
      <c r="G37" s="10"/>
      <c r="H37" s="10"/>
      <c r="I37" s="21" t="str">
        <f t="shared" ca="1" si="0"/>
        <v/>
      </c>
    </row>
    <row r="38" spans="1:9">
      <c r="A38" s="10"/>
      <c r="B38" s="10"/>
      <c r="C38" s="10"/>
      <c r="D38" s="10"/>
      <c r="E38" s="18"/>
      <c r="F38" s="18"/>
      <c r="G38" s="10"/>
      <c r="H38" s="10"/>
      <c r="I38" s="21" t="str">
        <f t="shared" ca="1" si="0"/>
        <v/>
      </c>
    </row>
    <row r="39" spans="1:9">
      <c r="A39" s="10"/>
      <c r="B39" s="10"/>
      <c r="C39" s="10"/>
      <c r="D39" s="10"/>
      <c r="E39" s="18"/>
      <c r="F39" s="18"/>
      <c r="G39" s="10"/>
      <c r="H39" s="10"/>
      <c r="I39" s="21" t="str">
        <f t="shared" ca="1" si="0"/>
        <v/>
      </c>
    </row>
    <row r="40" spans="1:9">
      <c r="A40" s="10"/>
      <c r="B40" s="10"/>
      <c r="C40" s="10"/>
      <c r="D40" s="10"/>
      <c r="E40" s="18"/>
      <c r="F40" s="18"/>
      <c r="G40" s="10"/>
      <c r="H40" s="10"/>
      <c r="I40" s="21" t="str">
        <f t="shared" ca="1" si="0"/>
        <v/>
      </c>
    </row>
    <row r="41" spans="1:9">
      <c r="A41" s="10"/>
      <c r="B41" s="10"/>
      <c r="C41" s="10"/>
      <c r="D41" s="10"/>
      <c r="E41" s="18"/>
      <c r="F41" s="18"/>
      <c r="G41" s="10"/>
      <c r="H41" s="10"/>
      <c r="I41" s="21" t="str">
        <f t="shared" ca="1" si="0"/>
        <v/>
      </c>
    </row>
    <row r="42" spans="1:9">
      <c r="A42" s="10"/>
      <c r="B42" s="10"/>
      <c r="C42" s="10"/>
      <c r="D42" s="10"/>
      <c r="E42" s="18"/>
      <c r="F42" s="18"/>
      <c r="G42" s="10"/>
      <c r="H42" s="10"/>
      <c r="I42" s="21" t="str">
        <f t="shared" ca="1" si="0"/>
        <v/>
      </c>
    </row>
    <row r="43" spans="1:9">
      <c r="A43" s="10"/>
      <c r="B43" s="10"/>
      <c r="C43" s="10"/>
      <c r="D43" s="10"/>
      <c r="E43" s="18"/>
      <c r="F43" s="18"/>
      <c r="G43" s="10"/>
      <c r="H43" s="10"/>
      <c r="I43" s="21" t="str">
        <f t="shared" ca="1" si="0"/>
        <v/>
      </c>
    </row>
    <row r="44" spans="1:9">
      <c r="A44" s="10"/>
      <c r="B44" s="10"/>
      <c r="C44" s="10"/>
      <c r="D44" s="10"/>
      <c r="E44" s="18"/>
      <c r="F44" s="18"/>
      <c r="G44" s="10"/>
      <c r="H44" s="10"/>
      <c r="I44" s="21" t="str">
        <f t="shared" ca="1" si="0"/>
        <v/>
      </c>
    </row>
    <row r="45" spans="1:9">
      <c r="A45" s="10"/>
      <c r="B45" s="10"/>
      <c r="C45" s="10"/>
      <c r="D45" s="10"/>
      <c r="E45" s="18"/>
      <c r="F45" s="18"/>
      <c r="G45" s="10"/>
      <c r="H45" s="10"/>
      <c r="I45" s="21" t="str">
        <f t="shared" ca="1" si="0"/>
        <v/>
      </c>
    </row>
    <row r="47" spans="1:9">
      <c r="A47" s="13" t="s">
        <v>493</v>
      </c>
    </row>
    <row r="48" spans="1:9">
      <c r="A48" s="13" t="s">
        <v>494</v>
      </c>
    </row>
  </sheetData>
  <sheetProtection sheet="1" formatCells="0" formatColumns="0" formatRows="0"/>
  <conditionalFormatting sqref="I6:I45">
    <cfRule type="expression" dxfId="3" priority="1">
      <formula>AND(ISNUMBER($I6),$I6&lt;0,$H6&lt;&gt;"Done")</formula>
    </cfRule>
  </conditionalFormatting>
  <dataValidations count="3">
    <dataValidation type="list" allowBlank="1" sqref="B6 B7 B8 B9 B10 B11 B12 B13 B14 B15 B16 B17 B18 B19 B20 B21 B22 B23 B24 B25 B26 B27 B28 B29 B30 B31 B32 B33 B34 B35 B36 B37 B38 B39 B40 B41 B42 B43 B44 B45" xr:uid="{00000000-0002-0000-1100-000000000000}">
      <formula1>"Site preparation &amp; foundation,Structure (concrete &amp; steel),Masonry (walls),Flooring,Painting,Doors, windows &amp; fittings,Plumbing &amp; electrical,Kitchen &amp; bathrooms,Approvals, fees &amp; other"</formula1>
    </dataValidation>
    <dataValidation type="list" allowBlank="1" sqref="G6 G7 G8 G9 G10 G11 G12 G13 G14 G15 G16 G17 G18 G19 G20 G21 G22 G23 G24 G25 G26 G27 G28 G29 G30 G31 G32 G33 G34 G35 G36 G37 G38 G39 G40 G41 G42 G43 G44 G45" xr:uid="{00000000-0002-0000-1100-000001000000}">
      <formula1>"High,Medium,Low"</formula1>
    </dataValidation>
    <dataValidation type="list" allowBlank="1" sqref="H6 H7 H8 H9 H10 H11 H12 H13 H14 H15 H16 H17 H18 H19 H20 H21 H22 H23 H24 H25 H26 H27 H28 H29 H30 H31 H32 H33 H34 H35 H36 H37 H38 H39 H40 H41 H42 H43 H44 H45" xr:uid="{00000000-0002-0000-1100-000002000000}">
      <formula1>"Not started,In progress,Done,On hold"</formula1>
    </dataValidation>
  </dataValidations>
  <pageMargins left="0.75" right="0.75" top="1" bottom="1" header="0.5" footer="0.5"/>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2F5D50"/>
  </sheetPr>
  <dimension ref="A1:I28"/>
  <sheetViews>
    <sheetView showGridLines="0" workbookViewId="0">
      <pane ySplit="5" topLeftCell="A6" activePane="bottomLeft" state="frozen"/>
      <selection pane="bottomLeft"/>
    </sheetView>
  </sheetViews>
  <sheetFormatPr defaultRowHeight="15"/>
  <cols>
    <col min="1" max="1" width="42" customWidth="1"/>
    <col min="2" max="2" width="36" customWidth="1"/>
    <col min="3" max="3" width="22" customWidth="1"/>
    <col min="4" max="5" width="14" customWidth="1"/>
    <col min="6" max="6" width="16" customWidth="1"/>
    <col min="7" max="7" width="20" customWidth="1"/>
    <col min="8" max="8" width="32" customWidth="1"/>
    <col min="9" max="9" width="16" customWidth="1"/>
  </cols>
  <sheetData>
    <row r="1" spans="1:9" ht="19.5">
      <c r="A1" s="1" t="s">
        <v>495</v>
      </c>
    </row>
    <row r="2" spans="1:9">
      <c r="A2" s="2" t="s">
        <v>496</v>
      </c>
    </row>
    <row r="5" spans="1:9" ht="33.950000000000003" customHeight="1">
      <c r="A5" s="5" t="s">
        <v>497</v>
      </c>
      <c r="B5" s="5" t="s">
        <v>498</v>
      </c>
      <c r="C5" s="5" t="s">
        <v>499</v>
      </c>
      <c r="D5" s="5" t="s">
        <v>500</v>
      </c>
      <c r="E5" s="5" t="s">
        <v>501</v>
      </c>
      <c r="F5" s="5" t="s">
        <v>326</v>
      </c>
      <c r="G5" s="5" t="s">
        <v>502</v>
      </c>
      <c r="H5" s="5" t="s">
        <v>190</v>
      </c>
      <c r="I5" s="5" t="s">
        <v>503</v>
      </c>
    </row>
    <row r="6" spans="1:9">
      <c r="A6" s="10" t="s">
        <v>504</v>
      </c>
      <c r="B6" s="10" t="s">
        <v>505</v>
      </c>
      <c r="C6" s="10" t="s">
        <v>506</v>
      </c>
      <c r="D6" s="18"/>
      <c r="E6" s="18"/>
      <c r="F6" s="10" t="s">
        <v>507</v>
      </c>
      <c r="G6" s="10"/>
      <c r="H6" s="10"/>
      <c r="I6" s="12"/>
    </row>
    <row r="7" spans="1:9">
      <c r="A7" s="10" t="s">
        <v>508</v>
      </c>
      <c r="B7" s="10" t="s">
        <v>505</v>
      </c>
      <c r="C7" s="10" t="s">
        <v>506</v>
      </c>
      <c r="D7" s="18"/>
      <c r="E7" s="18"/>
      <c r="F7" s="10" t="s">
        <v>507</v>
      </c>
      <c r="G7" s="10"/>
      <c r="H7" s="10"/>
      <c r="I7" s="12"/>
    </row>
    <row r="8" spans="1:9">
      <c r="A8" s="10" t="s">
        <v>509</v>
      </c>
      <c r="B8" s="10" t="s">
        <v>510</v>
      </c>
      <c r="C8" s="10" t="s">
        <v>506</v>
      </c>
      <c r="D8" s="18"/>
      <c r="E8" s="18"/>
      <c r="F8" s="10" t="s">
        <v>507</v>
      </c>
      <c r="G8" s="10"/>
      <c r="H8" s="10"/>
      <c r="I8" s="12"/>
    </row>
    <row r="9" spans="1:9">
      <c r="A9" s="10" t="s">
        <v>511</v>
      </c>
      <c r="B9" s="10" t="s">
        <v>512</v>
      </c>
      <c r="C9" s="10" t="s">
        <v>506</v>
      </c>
      <c r="D9" s="18"/>
      <c r="E9" s="18"/>
      <c r="F9" s="10" t="s">
        <v>507</v>
      </c>
      <c r="G9" s="10"/>
      <c r="H9" s="10"/>
      <c r="I9" s="12"/>
    </row>
    <row r="10" spans="1:9">
      <c r="A10" s="10" t="s">
        <v>513</v>
      </c>
      <c r="B10" s="10" t="s">
        <v>514</v>
      </c>
      <c r="C10" s="10" t="s">
        <v>506</v>
      </c>
      <c r="D10" s="18"/>
      <c r="E10" s="18"/>
      <c r="F10" s="10" t="s">
        <v>507</v>
      </c>
      <c r="G10" s="10"/>
      <c r="H10" s="10"/>
      <c r="I10" s="12"/>
    </row>
    <row r="11" spans="1:9">
      <c r="A11" s="10" t="s">
        <v>515</v>
      </c>
      <c r="B11" s="10" t="s">
        <v>516</v>
      </c>
      <c r="C11" s="10" t="s">
        <v>506</v>
      </c>
      <c r="D11" s="18"/>
      <c r="E11" s="18"/>
      <c r="F11" s="10" t="s">
        <v>507</v>
      </c>
      <c r="G11" s="10"/>
      <c r="H11" s="10"/>
      <c r="I11" s="12"/>
    </row>
    <row r="12" spans="1:9">
      <c r="A12" s="10" t="s">
        <v>517</v>
      </c>
      <c r="B12" s="10" t="s">
        <v>518</v>
      </c>
      <c r="C12" s="10" t="s">
        <v>506</v>
      </c>
      <c r="D12" s="18"/>
      <c r="E12" s="18"/>
      <c r="F12" s="10" t="s">
        <v>507</v>
      </c>
      <c r="G12" s="10"/>
      <c r="H12" s="10"/>
      <c r="I12" s="12"/>
    </row>
    <row r="13" spans="1:9">
      <c r="A13" s="10" t="s">
        <v>519</v>
      </c>
      <c r="B13" s="10" t="s">
        <v>518</v>
      </c>
      <c r="C13" s="10" t="s">
        <v>506</v>
      </c>
      <c r="D13" s="18"/>
      <c r="E13" s="18"/>
      <c r="F13" s="10" t="s">
        <v>507</v>
      </c>
      <c r="G13" s="10"/>
      <c r="H13" s="10"/>
      <c r="I13" s="12"/>
    </row>
    <row r="14" spans="1:9">
      <c r="A14" s="10" t="s">
        <v>520</v>
      </c>
      <c r="B14" s="10" t="s">
        <v>505</v>
      </c>
      <c r="C14" s="10" t="s">
        <v>506</v>
      </c>
      <c r="D14" s="18"/>
      <c r="E14" s="18"/>
      <c r="F14" s="10" t="s">
        <v>507</v>
      </c>
      <c r="G14" s="10"/>
      <c r="H14" s="10"/>
      <c r="I14" s="12"/>
    </row>
    <row r="15" spans="1:9">
      <c r="A15" s="10" t="s">
        <v>521</v>
      </c>
      <c r="B15" s="10" t="s">
        <v>522</v>
      </c>
      <c r="C15" s="10" t="s">
        <v>506</v>
      </c>
      <c r="D15" s="18"/>
      <c r="E15" s="18"/>
      <c r="F15" s="10" t="s">
        <v>507</v>
      </c>
      <c r="G15" s="10"/>
      <c r="H15" s="10"/>
      <c r="I15" s="12"/>
    </row>
    <row r="16" spans="1:9">
      <c r="A16" s="10"/>
      <c r="B16" s="10"/>
      <c r="C16" s="10"/>
      <c r="D16" s="18"/>
      <c r="E16" s="18"/>
      <c r="F16" s="10"/>
      <c r="G16" s="10"/>
      <c r="H16" s="10"/>
      <c r="I16" s="12"/>
    </row>
    <row r="17" spans="1:9">
      <c r="A17" s="10"/>
      <c r="B17" s="10"/>
      <c r="C17" s="10"/>
      <c r="D17" s="18"/>
      <c r="E17" s="18"/>
      <c r="F17" s="10"/>
      <c r="G17" s="10"/>
      <c r="H17" s="10"/>
      <c r="I17" s="12"/>
    </row>
    <row r="18" spans="1:9">
      <c r="A18" s="10"/>
      <c r="B18" s="10"/>
      <c r="C18" s="10"/>
      <c r="D18" s="18"/>
      <c r="E18" s="18"/>
      <c r="F18" s="10"/>
      <c r="G18" s="10"/>
      <c r="H18" s="10"/>
      <c r="I18" s="12"/>
    </row>
    <row r="19" spans="1:9">
      <c r="A19" s="10"/>
      <c r="B19" s="10"/>
      <c r="C19" s="10"/>
      <c r="D19" s="18"/>
      <c r="E19" s="18"/>
      <c r="F19" s="10"/>
      <c r="G19" s="10"/>
      <c r="H19" s="10"/>
      <c r="I19" s="12"/>
    </row>
    <row r="20" spans="1:9">
      <c r="A20" s="10"/>
      <c r="B20" s="10"/>
      <c r="C20" s="10"/>
      <c r="D20" s="18"/>
      <c r="E20" s="18"/>
      <c r="F20" s="10"/>
      <c r="G20" s="10"/>
      <c r="H20" s="10"/>
      <c r="I20" s="12"/>
    </row>
    <row r="21" spans="1:9">
      <c r="A21" s="10"/>
      <c r="B21" s="10"/>
      <c r="C21" s="10"/>
      <c r="D21" s="18"/>
      <c r="E21" s="18"/>
      <c r="F21" s="10"/>
      <c r="G21" s="10"/>
      <c r="H21" s="10"/>
      <c r="I21" s="12"/>
    </row>
    <row r="22" spans="1:9">
      <c r="A22" s="10"/>
      <c r="B22" s="10"/>
      <c r="C22" s="10"/>
      <c r="D22" s="18"/>
      <c r="E22" s="18"/>
      <c r="F22" s="10"/>
      <c r="G22" s="10"/>
      <c r="H22" s="10"/>
      <c r="I22" s="12"/>
    </row>
    <row r="23" spans="1:9">
      <c r="A23" s="10"/>
      <c r="B23" s="10"/>
      <c r="C23" s="10"/>
      <c r="D23" s="18"/>
      <c r="E23" s="18"/>
      <c r="F23" s="10"/>
      <c r="G23" s="10"/>
      <c r="H23" s="10"/>
      <c r="I23" s="12"/>
    </row>
    <row r="24" spans="1:9">
      <c r="A24" s="10"/>
      <c r="B24" s="10"/>
      <c r="C24" s="10"/>
      <c r="D24" s="18"/>
      <c r="E24" s="18"/>
      <c r="F24" s="10"/>
      <c r="G24" s="10"/>
      <c r="H24" s="10"/>
      <c r="I24" s="12"/>
    </row>
    <row r="25" spans="1:9">
      <c r="A25" s="10"/>
      <c r="B25" s="10"/>
      <c r="C25" s="10"/>
      <c r="D25" s="18"/>
      <c r="E25" s="18"/>
      <c r="F25" s="10"/>
      <c r="G25" s="10"/>
      <c r="H25" s="10"/>
      <c r="I25" s="12"/>
    </row>
    <row r="26" spans="1:9">
      <c r="A26" s="9" t="s">
        <v>523</v>
      </c>
      <c r="I26" s="24">
        <f>SUM(I6:I25)</f>
        <v>0</v>
      </c>
    </row>
    <row r="27" spans="1:9">
      <c r="A27" s="13" t="s">
        <v>524</v>
      </c>
    </row>
    <row r="28" spans="1:9">
      <c r="A28" s="13" t="s">
        <v>525</v>
      </c>
    </row>
  </sheetData>
  <sheetProtection sheet="1" formatCells="0" formatColumns="0" formatRows="0"/>
  <conditionalFormatting sqref="F6:F25">
    <cfRule type="expression" dxfId="2" priority="1">
      <formula>$F6="Rejected"</formula>
    </cfRule>
  </conditionalFormatting>
  <dataValidations count="2">
    <dataValidation type="list" allowBlank="1" sqref="C6 C7 C8 C9 C10 C11 C12 C13 C14 C15 C16 C17 C18 C19 C20 C21 C22 C23 C24 C25" xr:uid="{00000000-0002-0000-1200-000000000000}">
      <formula1>"Yes,No,Check"</formula1>
    </dataValidation>
    <dataValidation type="list" allowBlank="1" sqref="F6 F7 F8 F9 F10 F11 F12 F13 F14 F15 F16 F17 F18 F19 F20 F21 F22 F23 F24 F25" xr:uid="{00000000-0002-0000-1200-000001000000}">
      <formula1>"Not applied,Applied,Approved,Rejected,Not needed"</formula1>
    </dataValidation>
  </dataValidation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2F5D50"/>
  </sheetPr>
  <dimension ref="A1:E23"/>
  <sheetViews>
    <sheetView showGridLines="0" workbookViewId="0"/>
  </sheetViews>
  <sheetFormatPr defaultRowHeight="15"/>
  <cols>
    <col min="1" max="1" width="28" customWidth="1"/>
    <col min="2" max="2" width="18" customWidth="1"/>
    <col min="3" max="3" width="16" customWidth="1"/>
    <col min="4" max="4" width="36" customWidth="1"/>
    <col min="5" max="5" width="16" customWidth="1"/>
  </cols>
  <sheetData>
    <row r="1" spans="1:5" ht="19.5">
      <c r="A1" s="1" t="s">
        <v>526</v>
      </c>
    </row>
    <row r="2" spans="1:5">
      <c r="A2" s="2" t="s">
        <v>527</v>
      </c>
    </row>
    <row r="4" spans="1:5" ht="33.950000000000003" customHeight="1">
      <c r="A4" s="5" t="s">
        <v>168</v>
      </c>
      <c r="B4" s="5" t="s">
        <v>420</v>
      </c>
      <c r="C4" s="5" t="s">
        <v>528</v>
      </c>
      <c r="D4" s="5" t="s">
        <v>529</v>
      </c>
      <c r="E4" s="5" t="s">
        <v>530</v>
      </c>
    </row>
    <row r="6" spans="1:5">
      <c r="A6" s="9" t="s">
        <v>244</v>
      </c>
      <c r="B6" s="13" t="s">
        <v>531</v>
      </c>
      <c r="C6" s="12"/>
      <c r="D6" s="10"/>
      <c r="E6" s="18"/>
    </row>
    <row r="7" spans="1:5">
      <c r="A7" s="9" t="s">
        <v>431</v>
      </c>
      <c r="B7" s="13" t="s">
        <v>532</v>
      </c>
      <c r="C7" s="12"/>
      <c r="D7" s="10"/>
      <c r="E7" s="18"/>
    </row>
    <row r="8" spans="1:5">
      <c r="A8" s="9" t="s">
        <v>433</v>
      </c>
      <c r="B8" s="13" t="s">
        <v>532</v>
      </c>
      <c r="C8" s="12"/>
      <c r="D8" s="10"/>
      <c r="E8" s="18"/>
    </row>
    <row r="9" spans="1:5">
      <c r="A9" s="9" t="s">
        <v>533</v>
      </c>
      <c r="B9" s="13" t="s">
        <v>534</v>
      </c>
      <c r="C9" s="12"/>
      <c r="D9" s="10"/>
      <c r="E9" s="18"/>
    </row>
    <row r="10" spans="1:5">
      <c r="A10" s="9" t="s">
        <v>535</v>
      </c>
      <c r="B10" s="13" t="s">
        <v>534</v>
      </c>
      <c r="C10" s="12"/>
      <c r="D10" s="10"/>
      <c r="E10" s="18"/>
    </row>
    <row r="11" spans="1:5">
      <c r="A11" s="9" t="s">
        <v>536</v>
      </c>
      <c r="B11" s="13" t="s">
        <v>537</v>
      </c>
      <c r="C11" s="12"/>
      <c r="D11" s="10"/>
      <c r="E11" s="18"/>
    </row>
    <row r="12" spans="1:5">
      <c r="A12" s="9" t="s">
        <v>444</v>
      </c>
      <c r="B12" s="13" t="s">
        <v>538</v>
      </c>
      <c r="C12" s="12"/>
      <c r="D12" s="10"/>
      <c r="E12" s="18"/>
    </row>
    <row r="13" spans="1:5">
      <c r="A13" s="9" t="s">
        <v>539</v>
      </c>
      <c r="B13" s="13" t="s">
        <v>540</v>
      </c>
      <c r="C13" s="12"/>
      <c r="D13" s="10"/>
      <c r="E13" s="18"/>
    </row>
    <row r="14" spans="1:5">
      <c r="A14" s="9" t="s">
        <v>541</v>
      </c>
      <c r="B14" s="13" t="s">
        <v>532</v>
      </c>
      <c r="C14" s="12"/>
      <c r="D14" s="10"/>
      <c r="E14" s="18"/>
    </row>
    <row r="15" spans="1:5">
      <c r="A15" s="9" t="s">
        <v>542</v>
      </c>
      <c r="B15" s="13" t="s">
        <v>540</v>
      </c>
      <c r="C15" s="12"/>
      <c r="D15" s="10"/>
      <c r="E15" s="18"/>
    </row>
    <row r="16" spans="1:5">
      <c r="A16" s="9" t="s">
        <v>543</v>
      </c>
      <c r="B16" s="13" t="s">
        <v>532</v>
      </c>
      <c r="C16" s="12"/>
      <c r="D16" s="10"/>
      <c r="E16" s="18"/>
    </row>
    <row r="17" spans="1:5">
      <c r="A17" s="9" t="s">
        <v>544</v>
      </c>
      <c r="B17" s="13" t="s">
        <v>538</v>
      </c>
      <c r="C17" s="12"/>
      <c r="D17" s="10"/>
      <c r="E17" s="18"/>
    </row>
    <row r="18" spans="1:5">
      <c r="A18" s="9" t="s">
        <v>545</v>
      </c>
      <c r="B18" s="13" t="s">
        <v>546</v>
      </c>
      <c r="C18" s="12"/>
      <c r="D18" s="10"/>
      <c r="E18" s="18"/>
    </row>
    <row r="19" spans="1:5">
      <c r="A19" s="9" t="s">
        <v>547</v>
      </c>
      <c r="B19" s="13" t="s">
        <v>548</v>
      </c>
      <c r="C19" s="12"/>
      <c r="D19" s="10"/>
      <c r="E19" s="18"/>
    </row>
    <row r="20" spans="1:5">
      <c r="A20" s="9" t="s">
        <v>549</v>
      </c>
      <c r="B20" s="13" t="s">
        <v>550</v>
      </c>
      <c r="C20" s="12"/>
      <c r="D20" s="10"/>
      <c r="E20" s="18"/>
    </row>
    <row r="21" spans="1:5">
      <c r="A21" s="9" t="s">
        <v>551</v>
      </c>
      <c r="B21" s="13" t="s">
        <v>552</v>
      </c>
      <c r="C21" s="12"/>
      <c r="D21" s="10"/>
      <c r="E21" s="18"/>
    </row>
    <row r="23" spans="1:5">
      <c r="A23" s="13" t="s">
        <v>553</v>
      </c>
    </row>
  </sheetData>
  <sheetProtection sheet="1" formatCells="0" formatColumns="0" formatRows="0"/>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2F5D50"/>
  </sheetPr>
  <dimension ref="A1:I23"/>
  <sheetViews>
    <sheetView showGridLines="0" workbookViewId="0">
      <pane ySplit="5" topLeftCell="A6" activePane="bottomLeft" state="frozen"/>
      <selection pane="bottomLeft"/>
    </sheetView>
  </sheetViews>
  <sheetFormatPr defaultRowHeight="15"/>
  <cols>
    <col min="1" max="1" width="28" customWidth="1"/>
    <col min="2" max="2" width="20" customWidth="1"/>
    <col min="3" max="3" width="18" customWidth="1"/>
    <col min="4" max="4" width="14" customWidth="1"/>
    <col min="5" max="5" width="22" customWidth="1"/>
    <col min="6" max="6" width="18" customWidth="1"/>
    <col min="7" max="7" width="14" customWidth="1"/>
    <col min="8" max="8" width="22" customWidth="1"/>
    <col min="9" max="9" width="24" customWidth="1"/>
  </cols>
  <sheetData>
    <row r="1" spans="1:9" ht="19.5">
      <c r="A1" s="1" t="s">
        <v>554</v>
      </c>
    </row>
    <row r="2" spans="1:9">
      <c r="A2" s="2" t="s">
        <v>555</v>
      </c>
    </row>
    <row r="5" spans="1:9" ht="33.950000000000003" customHeight="1">
      <c r="A5" s="5" t="s">
        <v>168</v>
      </c>
      <c r="B5" s="5" t="s">
        <v>556</v>
      </c>
      <c r="C5" s="5" t="s">
        <v>557</v>
      </c>
      <c r="D5" s="5" t="s">
        <v>558</v>
      </c>
      <c r="E5" s="5" t="s">
        <v>559</v>
      </c>
      <c r="F5" s="5" t="s">
        <v>560</v>
      </c>
      <c r="G5" s="5" t="s">
        <v>561</v>
      </c>
      <c r="H5" s="5" t="s">
        <v>562</v>
      </c>
      <c r="I5" s="5" t="s">
        <v>563</v>
      </c>
    </row>
    <row r="6" spans="1:9">
      <c r="A6" s="9" t="s">
        <v>244</v>
      </c>
      <c r="B6" s="13" t="s">
        <v>531</v>
      </c>
      <c r="C6" s="10"/>
      <c r="D6" s="12"/>
      <c r="E6" s="10"/>
      <c r="F6" s="10"/>
      <c r="G6" s="12"/>
      <c r="H6" s="10"/>
      <c r="I6" s="24" t="str">
        <f t="shared" ref="I6:I21" si="0">IF(COUNT(D6,G6)&lt;2,"",IF(E6=H6,MIN(D6,G6),"Terms differ: ask both for the same terms"))</f>
        <v/>
      </c>
    </row>
    <row r="7" spans="1:9">
      <c r="A7" s="9" t="s">
        <v>431</v>
      </c>
      <c r="B7" s="13" t="s">
        <v>532</v>
      </c>
      <c r="C7" s="10"/>
      <c r="D7" s="12"/>
      <c r="E7" s="10"/>
      <c r="F7" s="10"/>
      <c r="G7" s="12"/>
      <c r="H7" s="10"/>
      <c r="I7" s="24" t="str">
        <f t="shared" si="0"/>
        <v/>
      </c>
    </row>
    <row r="8" spans="1:9">
      <c r="A8" s="9" t="s">
        <v>433</v>
      </c>
      <c r="B8" s="13" t="s">
        <v>532</v>
      </c>
      <c r="C8" s="10"/>
      <c r="D8" s="12"/>
      <c r="E8" s="10"/>
      <c r="F8" s="10"/>
      <c r="G8" s="12"/>
      <c r="H8" s="10"/>
      <c r="I8" s="24" t="str">
        <f t="shared" si="0"/>
        <v/>
      </c>
    </row>
    <row r="9" spans="1:9">
      <c r="A9" s="9" t="s">
        <v>533</v>
      </c>
      <c r="B9" s="13" t="s">
        <v>534</v>
      </c>
      <c r="C9" s="10"/>
      <c r="D9" s="12"/>
      <c r="E9" s="10"/>
      <c r="F9" s="10"/>
      <c r="G9" s="12"/>
      <c r="H9" s="10"/>
      <c r="I9" s="24" t="str">
        <f t="shared" si="0"/>
        <v/>
      </c>
    </row>
    <row r="10" spans="1:9">
      <c r="A10" s="9" t="s">
        <v>535</v>
      </c>
      <c r="B10" s="13" t="s">
        <v>534</v>
      </c>
      <c r="C10" s="10"/>
      <c r="D10" s="12"/>
      <c r="E10" s="10"/>
      <c r="F10" s="10"/>
      <c r="G10" s="12"/>
      <c r="H10" s="10"/>
      <c r="I10" s="24" t="str">
        <f t="shared" si="0"/>
        <v/>
      </c>
    </row>
    <row r="11" spans="1:9">
      <c r="A11" s="9" t="s">
        <v>536</v>
      </c>
      <c r="B11" s="13" t="s">
        <v>537</v>
      </c>
      <c r="C11" s="10"/>
      <c r="D11" s="12"/>
      <c r="E11" s="10"/>
      <c r="F11" s="10"/>
      <c r="G11" s="12"/>
      <c r="H11" s="10"/>
      <c r="I11" s="24" t="str">
        <f t="shared" si="0"/>
        <v/>
      </c>
    </row>
    <row r="12" spans="1:9">
      <c r="A12" s="9" t="s">
        <v>444</v>
      </c>
      <c r="B12" s="13" t="s">
        <v>538</v>
      </c>
      <c r="C12" s="10"/>
      <c r="D12" s="12"/>
      <c r="E12" s="10"/>
      <c r="F12" s="10"/>
      <c r="G12" s="12"/>
      <c r="H12" s="10"/>
      <c r="I12" s="24" t="str">
        <f t="shared" si="0"/>
        <v/>
      </c>
    </row>
    <row r="13" spans="1:9">
      <c r="A13" s="9" t="s">
        <v>539</v>
      </c>
      <c r="B13" s="13" t="s">
        <v>540</v>
      </c>
      <c r="C13" s="10"/>
      <c r="D13" s="12"/>
      <c r="E13" s="10"/>
      <c r="F13" s="10"/>
      <c r="G13" s="12"/>
      <c r="H13" s="10"/>
      <c r="I13" s="24" t="str">
        <f t="shared" si="0"/>
        <v/>
      </c>
    </row>
    <row r="14" spans="1:9">
      <c r="A14" s="9" t="s">
        <v>541</v>
      </c>
      <c r="B14" s="13" t="s">
        <v>532</v>
      </c>
      <c r="C14" s="10"/>
      <c r="D14" s="12"/>
      <c r="E14" s="10"/>
      <c r="F14" s="10"/>
      <c r="G14" s="12"/>
      <c r="H14" s="10"/>
      <c r="I14" s="24" t="str">
        <f t="shared" si="0"/>
        <v/>
      </c>
    </row>
    <row r="15" spans="1:9">
      <c r="A15" s="9" t="s">
        <v>542</v>
      </c>
      <c r="B15" s="13" t="s">
        <v>540</v>
      </c>
      <c r="C15" s="10"/>
      <c r="D15" s="12"/>
      <c r="E15" s="10"/>
      <c r="F15" s="10"/>
      <c r="G15" s="12"/>
      <c r="H15" s="10"/>
      <c r="I15" s="24" t="str">
        <f t="shared" si="0"/>
        <v/>
      </c>
    </row>
    <row r="16" spans="1:9">
      <c r="A16" s="9" t="s">
        <v>543</v>
      </c>
      <c r="B16" s="13" t="s">
        <v>532</v>
      </c>
      <c r="C16" s="10"/>
      <c r="D16" s="12"/>
      <c r="E16" s="10"/>
      <c r="F16" s="10"/>
      <c r="G16" s="12"/>
      <c r="H16" s="10"/>
      <c r="I16" s="24" t="str">
        <f t="shared" si="0"/>
        <v/>
      </c>
    </row>
    <row r="17" spans="1:9">
      <c r="A17" s="9" t="s">
        <v>544</v>
      </c>
      <c r="B17" s="13" t="s">
        <v>538</v>
      </c>
      <c r="C17" s="10"/>
      <c r="D17" s="12"/>
      <c r="E17" s="10"/>
      <c r="F17" s="10"/>
      <c r="G17" s="12"/>
      <c r="H17" s="10"/>
      <c r="I17" s="24" t="str">
        <f t="shared" si="0"/>
        <v/>
      </c>
    </row>
    <row r="18" spans="1:9">
      <c r="A18" s="9" t="s">
        <v>545</v>
      </c>
      <c r="B18" s="13" t="s">
        <v>546</v>
      </c>
      <c r="C18" s="10"/>
      <c r="D18" s="12"/>
      <c r="E18" s="10"/>
      <c r="F18" s="10"/>
      <c r="G18" s="12"/>
      <c r="H18" s="10"/>
      <c r="I18" s="24" t="str">
        <f t="shared" si="0"/>
        <v/>
      </c>
    </row>
    <row r="19" spans="1:9">
      <c r="A19" s="9" t="s">
        <v>547</v>
      </c>
      <c r="B19" s="13" t="s">
        <v>548</v>
      </c>
      <c r="C19" s="10"/>
      <c r="D19" s="12"/>
      <c r="E19" s="10"/>
      <c r="F19" s="10"/>
      <c r="G19" s="12"/>
      <c r="H19" s="10"/>
      <c r="I19" s="24" t="str">
        <f t="shared" si="0"/>
        <v/>
      </c>
    </row>
    <row r="20" spans="1:9">
      <c r="A20" s="9" t="s">
        <v>549</v>
      </c>
      <c r="B20" s="13" t="s">
        <v>550</v>
      </c>
      <c r="C20" s="10"/>
      <c r="D20" s="12"/>
      <c r="E20" s="10"/>
      <c r="F20" s="10"/>
      <c r="G20" s="12"/>
      <c r="H20" s="10"/>
      <c r="I20" s="24" t="str">
        <f t="shared" si="0"/>
        <v/>
      </c>
    </row>
    <row r="21" spans="1:9">
      <c r="A21" s="9" t="s">
        <v>551</v>
      </c>
      <c r="B21" s="13" t="s">
        <v>552</v>
      </c>
      <c r="C21" s="10"/>
      <c r="D21" s="12"/>
      <c r="E21" s="10"/>
      <c r="F21" s="10"/>
      <c r="G21" s="12"/>
      <c r="H21" s="10"/>
      <c r="I21" s="24" t="str">
        <f t="shared" si="0"/>
        <v/>
      </c>
    </row>
    <row r="23" spans="1:9">
      <c r="A23" s="13" t="s">
        <v>564</v>
      </c>
    </row>
  </sheetData>
  <sheetProtection sheet="1" formatCells="0" formatColumns="0" formatRows="0"/>
  <dataValidations count="1">
    <dataValidation type="list" allowBlank="1" sqref="E6 E7 E8 E9 E10 E11 E12 E13 E14 E15 E16 E17 E18 E19 E20 E21 H6 H7 H8 H9 H10 H11 H12 H13 H14 H15 H16 H17 H18 H19 H20 H21" xr:uid="{00000000-0002-0000-1400-000000000000}">
      <formula1>"Yes,No"</formula1>
    </dataValidation>
  </dataValidation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2F5D50"/>
  </sheetPr>
  <dimension ref="A1:I35"/>
  <sheetViews>
    <sheetView showGridLines="0" workbookViewId="0">
      <pane ySplit="4" topLeftCell="A5" activePane="bottomLeft" state="frozen"/>
      <selection pane="bottomLeft"/>
    </sheetView>
  </sheetViews>
  <sheetFormatPr defaultRowHeight="15"/>
  <cols>
    <col min="1" max="1" width="44" customWidth="1"/>
    <col min="2" max="2" width="22" customWidth="1"/>
    <col min="3" max="3" width="16" customWidth="1"/>
    <col min="4" max="4" width="22" customWidth="1"/>
    <col min="5" max="5" width="60" customWidth="1"/>
    <col min="6" max="7" width="22" customWidth="1"/>
    <col min="8" max="8" width="30" customWidth="1"/>
    <col min="9" max="9" width="16" customWidth="1"/>
  </cols>
  <sheetData>
    <row r="1" spans="1:9" ht="19.5">
      <c r="A1" s="1" t="s">
        <v>565</v>
      </c>
    </row>
    <row r="2" spans="1:9">
      <c r="A2" s="2" t="s">
        <v>566</v>
      </c>
    </row>
    <row r="4" spans="1:9" ht="33.950000000000003" customHeight="1">
      <c r="A4" s="5" t="s">
        <v>567</v>
      </c>
      <c r="B4" s="5" t="s">
        <v>568</v>
      </c>
      <c r="C4" s="5" t="s">
        <v>420</v>
      </c>
      <c r="D4" s="5" t="s">
        <v>569</v>
      </c>
      <c r="E4" s="5" t="s">
        <v>570</v>
      </c>
      <c r="F4" s="5" t="s">
        <v>571</v>
      </c>
      <c r="G4" s="5" t="s">
        <v>572</v>
      </c>
      <c r="H4" s="5" t="s">
        <v>573</v>
      </c>
      <c r="I4" s="5" t="s">
        <v>574</v>
      </c>
    </row>
    <row r="5" spans="1:9" ht="30" customHeight="1">
      <c r="A5" s="30" t="s">
        <v>361</v>
      </c>
      <c r="B5" s="6">
        <f>Setup!B12</f>
        <v>0.1</v>
      </c>
      <c r="C5" s="13" t="s">
        <v>575</v>
      </c>
      <c r="D5" s="8" t="s">
        <v>29</v>
      </c>
      <c r="E5" s="8" t="s">
        <v>576</v>
      </c>
      <c r="F5" s="10"/>
      <c r="G5" s="10"/>
      <c r="H5" s="10"/>
      <c r="I5" s="18"/>
    </row>
    <row r="6" spans="1:9" ht="30" customHeight="1">
      <c r="A6" s="30" t="s">
        <v>362</v>
      </c>
      <c r="B6" s="6">
        <f>Setup!B13</f>
        <v>0</v>
      </c>
      <c r="C6" s="13" t="s">
        <v>575</v>
      </c>
      <c r="D6" s="8" t="s">
        <v>29</v>
      </c>
      <c r="E6" s="31" t="s">
        <v>577</v>
      </c>
      <c r="F6" s="10"/>
      <c r="G6" s="10"/>
      <c r="H6" s="10"/>
      <c r="I6" s="18"/>
    </row>
    <row r="7" spans="1:9" ht="30" customHeight="1">
      <c r="A7" s="30" t="s">
        <v>578</v>
      </c>
      <c r="B7" s="6">
        <f>Concrete!B20</f>
        <v>1.54</v>
      </c>
      <c r="C7" s="13" t="s">
        <v>579</v>
      </c>
      <c r="D7" s="8" t="s">
        <v>41</v>
      </c>
      <c r="E7" s="8" t="s">
        <v>580</v>
      </c>
      <c r="F7" s="10"/>
      <c r="G7" s="10"/>
      <c r="H7" s="10"/>
      <c r="I7" s="18"/>
    </row>
    <row r="8" spans="1:9" ht="30" customHeight="1">
      <c r="A8" s="30" t="s">
        <v>581</v>
      </c>
      <c r="B8" s="6">
        <f>Concrete!B17</f>
        <v>1</v>
      </c>
      <c r="C8" s="13" t="s">
        <v>582</v>
      </c>
      <c r="D8" s="8" t="s">
        <v>41</v>
      </c>
      <c r="E8" s="8" t="s">
        <v>583</v>
      </c>
      <c r="F8" s="10"/>
      <c r="G8" s="10"/>
      <c r="H8" s="10"/>
      <c r="I8" s="18"/>
    </row>
    <row r="9" spans="1:9" ht="30" customHeight="1">
      <c r="A9" s="30" t="s">
        <v>584</v>
      </c>
      <c r="B9" s="6">
        <f>Concrete!B18</f>
        <v>2</v>
      </c>
      <c r="C9" s="13" t="s">
        <v>582</v>
      </c>
      <c r="D9" s="8" t="s">
        <v>41</v>
      </c>
      <c r="E9" s="8" t="s">
        <v>583</v>
      </c>
      <c r="F9" s="10"/>
      <c r="G9" s="10"/>
      <c r="H9" s="10"/>
      <c r="I9" s="18"/>
    </row>
    <row r="10" spans="1:9" ht="30" customHeight="1">
      <c r="A10" s="30" t="s">
        <v>585</v>
      </c>
      <c r="B10" s="6">
        <f>Concrete!B19</f>
        <v>4</v>
      </c>
      <c r="C10" s="13" t="s">
        <v>582</v>
      </c>
      <c r="D10" s="8" t="s">
        <v>41</v>
      </c>
      <c r="E10" s="8" t="s">
        <v>583</v>
      </c>
      <c r="F10" s="10"/>
      <c r="G10" s="10"/>
      <c r="H10" s="10"/>
      <c r="I10" s="18"/>
    </row>
    <row r="11" spans="1:9" ht="30" customHeight="1">
      <c r="A11" s="30" t="s">
        <v>586</v>
      </c>
      <c r="B11" s="26">
        <v>1.25</v>
      </c>
      <c r="C11" s="13" t="s">
        <v>432</v>
      </c>
      <c r="D11" s="8" t="s">
        <v>587</v>
      </c>
      <c r="E11" s="8" t="s">
        <v>588</v>
      </c>
      <c r="F11" s="10"/>
      <c r="G11" s="10"/>
      <c r="H11" s="10"/>
      <c r="I11" s="18"/>
    </row>
    <row r="12" spans="1:9" ht="30" customHeight="1">
      <c r="A12" s="30" t="s">
        <v>589</v>
      </c>
      <c r="B12" s="6">
        <f>'Bricks &amp; Blocks'!B14</f>
        <v>500</v>
      </c>
      <c r="C12" s="13" t="s">
        <v>441</v>
      </c>
      <c r="D12" s="8" t="s">
        <v>43</v>
      </c>
      <c r="E12" s="8" t="s">
        <v>590</v>
      </c>
      <c r="F12" s="10"/>
      <c r="G12" s="10"/>
      <c r="H12" s="10"/>
      <c r="I12" s="18"/>
    </row>
    <row r="13" spans="1:9" ht="30" customHeight="1">
      <c r="A13" s="30" t="s">
        <v>591</v>
      </c>
      <c r="B13" s="6">
        <f>'Bricks &amp; Blocks'!B15</f>
        <v>0.05</v>
      </c>
      <c r="C13" s="13" t="s">
        <v>575</v>
      </c>
      <c r="D13" s="8" t="s">
        <v>43</v>
      </c>
      <c r="E13" s="8" t="s">
        <v>592</v>
      </c>
      <c r="F13" s="10"/>
      <c r="G13" s="10"/>
      <c r="H13" s="10"/>
      <c r="I13" s="18"/>
    </row>
    <row r="14" spans="1:9" ht="30" customHeight="1">
      <c r="A14" s="30" t="s">
        <v>593</v>
      </c>
      <c r="B14" s="6">
        <f>'Paint &amp; Tiles'!B28</f>
        <v>100</v>
      </c>
      <c r="C14" s="13" t="s">
        <v>594</v>
      </c>
      <c r="D14" s="8" t="s">
        <v>35</v>
      </c>
      <c r="E14" s="8" t="s">
        <v>595</v>
      </c>
      <c r="F14" s="10"/>
      <c r="G14" s="10"/>
      <c r="H14" s="10"/>
      <c r="I14" s="18"/>
    </row>
    <row r="15" spans="1:9" ht="30" customHeight="1">
      <c r="A15" s="30" t="s">
        <v>596</v>
      </c>
      <c r="B15" s="6">
        <f>'Paint &amp; Tiles'!B29</f>
        <v>0.1</v>
      </c>
      <c r="C15" s="13" t="s">
        <v>575</v>
      </c>
      <c r="D15" s="8" t="s">
        <v>35</v>
      </c>
      <c r="E15" s="8" t="s">
        <v>592</v>
      </c>
      <c r="F15" s="10"/>
      <c r="G15" s="10"/>
      <c r="H15" s="10"/>
      <c r="I15" s="18"/>
    </row>
    <row r="16" spans="1:9" ht="30" customHeight="1">
      <c r="A16" s="30" t="s">
        <v>194</v>
      </c>
      <c r="B16" s="6">
        <f>'Paint &amp; Tiles'!B27</f>
        <v>2</v>
      </c>
      <c r="C16" s="13" t="s">
        <v>597</v>
      </c>
      <c r="D16" s="8" t="s">
        <v>35</v>
      </c>
      <c r="E16" s="8" t="s">
        <v>598</v>
      </c>
      <c r="F16" s="10"/>
      <c r="G16" s="10"/>
      <c r="H16" s="10"/>
      <c r="I16" s="18"/>
    </row>
    <row r="17" spans="1:9" ht="30" customHeight="1">
      <c r="A17" s="30" t="s">
        <v>599</v>
      </c>
      <c r="B17" s="6">
        <f>'Paint &amp; Tiles'!B21</f>
        <v>3</v>
      </c>
      <c r="C17" s="13" t="s">
        <v>600</v>
      </c>
      <c r="D17" s="8" t="s">
        <v>35</v>
      </c>
      <c r="E17" s="8" t="s">
        <v>601</v>
      </c>
      <c r="F17" s="10"/>
      <c r="G17" s="10"/>
      <c r="H17" s="10"/>
      <c r="I17" s="18"/>
    </row>
    <row r="18" spans="1:9" ht="30" customHeight="1">
      <c r="A18" s="30" t="s">
        <v>602</v>
      </c>
      <c r="B18" s="6">
        <f>'Paint &amp; Tiles'!B23</f>
        <v>4</v>
      </c>
      <c r="C18" s="13" t="s">
        <v>600</v>
      </c>
      <c r="D18" s="8" t="s">
        <v>35</v>
      </c>
      <c r="E18" s="8" t="s">
        <v>603</v>
      </c>
      <c r="F18" s="10"/>
      <c r="G18" s="10"/>
      <c r="H18" s="10"/>
      <c r="I18" s="18"/>
    </row>
    <row r="19" spans="1:9" ht="30" customHeight="1">
      <c r="A19" s="30" t="s">
        <v>604</v>
      </c>
      <c r="B19" s="6">
        <f>'Paint &amp; Tiles'!B32</f>
        <v>600</v>
      </c>
      <c r="C19" s="13" t="s">
        <v>605</v>
      </c>
      <c r="D19" s="8" t="s">
        <v>35</v>
      </c>
      <c r="E19" s="8" t="s">
        <v>606</v>
      </c>
      <c r="F19" s="10"/>
      <c r="G19" s="10"/>
      <c r="H19" s="10"/>
      <c r="I19" s="18"/>
    </row>
    <row r="20" spans="1:9" ht="30" customHeight="1">
      <c r="A20" s="30" t="s">
        <v>607</v>
      </c>
      <c r="B20" s="6">
        <f>'Paint &amp; Tiles'!B34</f>
        <v>0.1</v>
      </c>
      <c r="C20" s="13" t="s">
        <v>575</v>
      </c>
      <c r="D20" s="8" t="s">
        <v>35</v>
      </c>
      <c r="E20" s="8" t="s">
        <v>592</v>
      </c>
      <c r="F20" s="10"/>
      <c r="G20" s="10"/>
      <c r="H20" s="10"/>
      <c r="I20" s="18"/>
    </row>
    <row r="21" spans="1:9" ht="30" customHeight="1">
      <c r="A21" s="30" t="s">
        <v>608</v>
      </c>
      <c r="B21" s="32">
        <v>162</v>
      </c>
      <c r="C21" s="13" t="s">
        <v>609</v>
      </c>
      <c r="D21" s="8" t="s">
        <v>610</v>
      </c>
      <c r="E21" s="8" t="s">
        <v>611</v>
      </c>
      <c r="F21" s="10"/>
      <c r="G21" s="10"/>
      <c r="H21" s="10"/>
      <c r="I21" s="18"/>
    </row>
    <row r="22" spans="1:9" ht="30" customHeight="1">
      <c r="A22" s="30" t="s">
        <v>612</v>
      </c>
      <c r="B22" s="6">
        <f>Plaster!B10</f>
        <v>12</v>
      </c>
      <c r="C22" s="13" t="s">
        <v>605</v>
      </c>
      <c r="D22" s="8" t="s">
        <v>45</v>
      </c>
      <c r="E22" s="8" t="s">
        <v>592</v>
      </c>
      <c r="F22" s="10"/>
      <c r="G22" s="10"/>
      <c r="H22" s="10"/>
      <c r="I22" s="18"/>
    </row>
    <row r="23" spans="1:9" ht="30" customHeight="1">
      <c r="A23" s="30" t="s">
        <v>613</v>
      </c>
      <c r="B23" s="6" t="str">
        <f>Plaster!B12&amp;" : "&amp;Plaster!B13</f>
        <v>1 : 6</v>
      </c>
      <c r="C23" s="13" t="s">
        <v>582</v>
      </c>
      <c r="D23" s="8" t="s">
        <v>45</v>
      </c>
      <c r="E23" s="8" t="s">
        <v>592</v>
      </c>
      <c r="F23" s="10"/>
      <c r="G23" s="10"/>
      <c r="H23" s="10"/>
      <c r="I23" s="18"/>
    </row>
    <row r="24" spans="1:9" ht="30" customHeight="1">
      <c r="A24" s="30" t="s">
        <v>614</v>
      </c>
      <c r="B24" s="6">
        <f>Plaster!B11</f>
        <v>1.27</v>
      </c>
      <c r="C24" s="13" t="s">
        <v>579</v>
      </c>
      <c r="D24" s="8" t="s">
        <v>45</v>
      </c>
      <c r="E24" s="8" t="s">
        <v>592</v>
      </c>
      <c r="F24" s="10"/>
      <c r="G24" s="10"/>
      <c r="H24" s="10"/>
      <c r="I24" s="18"/>
    </row>
    <row r="25" spans="1:9" ht="30" customHeight="1">
      <c r="A25" s="30" t="s">
        <v>615</v>
      </c>
      <c r="B25" s="6">
        <f>Plaster!B14</f>
        <v>0.1</v>
      </c>
      <c r="C25" s="13" t="s">
        <v>575</v>
      </c>
      <c r="D25" s="8" t="s">
        <v>45</v>
      </c>
      <c r="E25" s="8" t="s">
        <v>592</v>
      </c>
      <c r="F25" s="10"/>
      <c r="G25" s="10"/>
      <c r="H25" s="10"/>
      <c r="I25" s="18"/>
    </row>
    <row r="26" spans="1:9" ht="30" customHeight="1">
      <c r="A26" s="30" t="s">
        <v>616</v>
      </c>
      <c r="B26" s="6">
        <f>Earthwork!B17</f>
        <v>0.1</v>
      </c>
      <c r="C26" s="13" t="s">
        <v>575</v>
      </c>
      <c r="D26" s="8" t="s">
        <v>33</v>
      </c>
      <c r="E26" s="8" t="s">
        <v>592</v>
      </c>
      <c r="F26" s="10"/>
      <c r="G26" s="10"/>
      <c r="H26" s="10"/>
      <c r="I26" s="18"/>
    </row>
    <row r="27" spans="1:9" ht="30" customHeight="1">
      <c r="A27" s="30" t="s">
        <v>617</v>
      </c>
      <c r="B27" s="6">
        <f>'Order List'!E7</f>
        <v>0.1</v>
      </c>
      <c r="C27" s="13" t="s">
        <v>575</v>
      </c>
      <c r="D27" s="8" t="s">
        <v>56</v>
      </c>
      <c r="E27" s="8" t="s">
        <v>588</v>
      </c>
      <c r="F27" s="10"/>
      <c r="G27" s="10"/>
      <c r="H27" s="10"/>
      <c r="I27" s="18"/>
    </row>
    <row r="28" spans="1:9" ht="30" customHeight="1">
      <c r="A28" s="30" t="s">
        <v>618</v>
      </c>
      <c r="B28" s="6">
        <f>'Order List'!E8</f>
        <v>0.05</v>
      </c>
      <c r="C28" s="13" t="s">
        <v>575</v>
      </c>
      <c r="D28" s="8" t="s">
        <v>56</v>
      </c>
      <c r="E28" s="8" t="s">
        <v>588</v>
      </c>
      <c r="F28" s="10"/>
      <c r="G28" s="10"/>
      <c r="H28" s="10"/>
      <c r="I28" s="18"/>
    </row>
    <row r="29" spans="1:9" ht="30" customHeight="1">
      <c r="A29" s="30" t="s">
        <v>619</v>
      </c>
      <c r="B29" s="6">
        <f>'Bill Check'!B4</f>
        <v>0.05</v>
      </c>
      <c r="C29" s="13" t="s">
        <v>575</v>
      </c>
      <c r="D29" s="8" t="s">
        <v>67</v>
      </c>
      <c r="E29" s="8" t="s">
        <v>620</v>
      </c>
      <c r="F29" s="10"/>
      <c r="G29" s="10"/>
      <c r="H29" s="10"/>
      <c r="I29" s="18"/>
    </row>
    <row r="30" spans="1:9" ht="30" customHeight="1">
      <c r="A30" s="30" t="s">
        <v>621</v>
      </c>
      <c r="B30" s="6">
        <f>Quotation!C36</f>
        <v>30</v>
      </c>
      <c r="C30" s="13" t="s">
        <v>622</v>
      </c>
      <c r="D30" s="8" t="s">
        <v>77</v>
      </c>
      <c r="E30" s="8" t="s">
        <v>623</v>
      </c>
      <c r="F30" s="10"/>
      <c r="G30" s="10"/>
      <c r="H30" s="10"/>
      <c r="I30" s="18"/>
    </row>
    <row r="31" spans="1:9" ht="30" customHeight="1">
      <c r="A31" s="30" t="s">
        <v>624</v>
      </c>
      <c r="B31" s="6" t="s">
        <v>625</v>
      </c>
      <c r="C31" s="13" t="s">
        <v>575</v>
      </c>
      <c r="D31" s="8" t="s">
        <v>52</v>
      </c>
      <c r="E31" s="8" t="s">
        <v>626</v>
      </c>
      <c r="F31" s="10"/>
      <c r="G31" s="10"/>
      <c r="H31" s="10"/>
      <c r="I31" s="18"/>
    </row>
    <row r="32" spans="1:9" ht="30" customHeight="1">
      <c r="A32" s="30" t="s">
        <v>627</v>
      </c>
      <c r="B32" s="6" t="s">
        <v>628</v>
      </c>
      <c r="C32" s="13" t="s">
        <v>629</v>
      </c>
      <c r="D32" s="8" t="s">
        <v>630</v>
      </c>
      <c r="E32" s="8" t="s">
        <v>631</v>
      </c>
      <c r="F32" s="10"/>
      <c r="G32" s="10"/>
      <c r="H32" s="10"/>
      <c r="I32" s="18"/>
    </row>
    <row r="34" spans="1:1">
      <c r="A34" s="13" t="s">
        <v>632</v>
      </c>
    </row>
    <row r="35" spans="1:1">
      <c r="A35" s="13" t="s">
        <v>633</v>
      </c>
    </row>
  </sheetData>
  <sheetProtection sheet="1" formatCells="0" formatColumns="0" formatRows="0"/>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2F5D50"/>
  </sheetPr>
  <dimension ref="A1:B11"/>
  <sheetViews>
    <sheetView showGridLines="0" workbookViewId="0"/>
  </sheetViews>
  <sheetFormatPr defaultRowHeight="15"/>
  <cols>
    <col min="1" max="1" width="28" customWidth="1"/>
    <col min="2" max="2" width="100" customWidth="1"/>
  </cols>
  <sheetData>
    <row r="1" spans="1:2" ht="19.5">
      <c r="A1" s="1" t="s">
        <v>634</v>
      </c>
    </row>
    <row r="2" spans="1:2">
      <c r="A2" s="2" t="s">
        <v>635</v>
      </c>
    </row>
    <row r="4" spans="1:2" ht="48" customHeight="1">
      <c r="A4" s="30" t="s">
        <v>636</v>
      </c>
      <c r="B4" s="8" t="s">
        <v>637</v>
      </c>
    </row>
    <row r="5" spans="1:2" ht="48" customHeight="1">
      <c r="A5" s="30" t="s">
        <v>638</v>
      </c>
      <c r="B5" s="8" t="s">
        <v>639</v>
      </c>
    </row>
    <row r="6" spans="1:2" ht="48" customHeight="1">
      <c r="A6" s="30" t="s">
        <v>640</v>
      </c>
      <c r="B6" s="8" t="s">
        <v>641</v>
      </c>
    </row>
    <row r="7" spans="1:2" ht="48" customHeight="1">
      <c r="A7" s="30" t="s">
        <v>642</v>
      </c>
      <c r="B7" s="8" t="s">
        <v>643</v>
      </c>
    </row>
    <row r="8" spans="1:2" ht="48" customHeight="1">
      <c r="A8" s="30" t="s">
        <v>644</v>
      </c>
      <c r="B8" s="8" t="s">
        <v>645</v>
      </c>
    </row>
    <row r="9" spans="1:2" ht="48" customHeight="1">
      <c r="A9" s="30" t="s">
        <v>646</v>
      </c>
      <c r="B9" s="8" t="s">
        <v>647</v>
      </c>
    </row>
    <row r="10" spans="1:2" ht="48" customHeight="1">
      <c r="A10" s="30" t="s">
        <v>648</v>
      </c>
      <c r="B10" s="8" t="s">
        <v>649</v>
      </c>
    </row>
    <row r="11" spans="1:2" ht="48" customHeight="1">
      <c r="A11" s="33" t="s">
        <v>650</v>
      </c>
      <c r="B11" s="31" t="s">
        <v>651</v>
      </c>
    </row>
  </sheetData>
  <sheetProtection sheet="1" formatCells="0" formatColumns="0" formatRows="0"/>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2F5D50"/>
  </sheetPr>
  <dimension ref="A1:B34"/>
  <sheetViews>
    <sheetView showGridLines="0" workbookViewId="0"/>
  </sheetViews>
  <sheetFormatPr defaultRowHeight="15"/>
  <cols>
    <col min="1" max="1" width="34" customWidth="1"/>
    <col min="2" max="2" width="26" customWidth="1"/>
  </cols>
  <sheetData>
    <row r="1" spans="1:2" ht="19.5">
      <c r="A1" s="1" t="s">
        <v>652</v>
      </c>
    </row>
    <row r="2" spans="1:2">
      <c r="A2" s="2" t="s">
        <v>653</v>
      </c>
    </row>
    <row r="4" spans="1:2">
      <c r="A4" s="3" t="s">
        <v>654</v>
      </c>
      <c r="B4" s="4"/>
    </row>
    <row r="5" spans="1:2">
      <c r="A5" s="13" t="s">
        <v>655</v>
      </c>
      <c r="B5" s="6" t="str">
        <f>Setup!B5</f>
        <v>My Home Project</v>
      </c>
    </row>
    <row r="6" spans="1:2">
      <c r="A6" s="13" t="s">
        <v>656</v>
      </c>
      <c r="B6" s="6" t="str">
        <f>Setup!B7</f>
        <v>Chennai</v>
      </c>
    </row>
    <row r="7" spans="1:2">
      <c r="A7" s="13" t="s">
        <v>102</v>
      </c>
      <c r="B7" s="6" t="str">
        <f>TEXT(Setup!B10,"#,##0")&amp;" "&amp;IF(Setup!$B$9="Metres","sq m","sq ft")</f>
        <v>1,500 sq ft</v>
      </c>
    </row>
    <row r="8" spans="1:2">
      <c r="A8" s="13" t="s">
        <v>104</v>
      </c>
      <c r="B8" s="24">
        <f>Setup!B11</f>
        <v>2500000</v>
      </c>
    </row>
    <row r="10" spans="1:2">
      <c r="A10" s="3" t="s">
        <v>657</v>
      </c>
      <c r="B10" s="4"/>
    </row>
    <row r="11" spans="1:2">
      <c r="A11" s="9" t="s">
        <v>658</v>
      </c>
      <c r="B11" s="24">
        <f>'Cost Estimate'!C29</f>
        <v>0</v>
      </c>
    </row>
    <row r="12" spans="1:2">
      <c r="A12" s="9" t="s">
        <v>323</v>
      </c>
      <c r="B12" s="24">
        <f>'Cost Estimate'!D29</f>
        <v>0</v>
      </c>
    </row>
    <row r="13" spans="1:2">
      <c r="A13" s="9" t="s">
        <v>659</v>
      </c>
      <c r="B13" s="24">
        <f>'Cost Estimate'!C31</f>
        <v>2500000</v>
      </c>
    </row>
    <row r="14" spans="1:2">
      <c r="A14" s="13" t="s">
        <v>366</v>
      </c>
      <c r="B14" s="24">
        <f>'Cost Estimate'!C32</f>
        <v>0</v>
      </c>
    </row>
    <row r="15" spans="1:2">
      <c r="A15" s="13" t="s">
        <v>660</v>
      </c>
      <c r="B15" s="25">
        <f>IF(B11=0,0,B12/B11)</f>
        <v>0</v>
      </c>
    </row>
    <row r="17" spans="1:2">
      <c r="A17" s="3" t="s">
        <v>661</v>
      </c>
      <c r="B17" s="4"/>
    </row>
    <row r="18" spans="1:2">
      <c r="A18" s="13" t="s">
        <v>662</v>
      </c>
      <c r="B18" s="21">
        <f>'Paint &amp; Tiles'!B38</f>
        <v>77</v>
      </c>
    </row>
    <row r="19" spans="1:2">
      <c r="A19" s="13" t="s">
        <v>663</v>
      </c>
      <c r="B19" s="21">
        <f>'Paint &amp; Tiles'!B41</f>
        <v>271</v>
      </c>
    </row>
    <row r="20" spans="1:2">
      <c r="A20" s="13" t="s">
        <v>664</v>
      </c>
      <c r="B20" s="21">
        <f>'Bricks &amp; Blocks'!B21</f>
        <v>15571</v>
      </c>
    </row>
    <row r="21" spans="1:2">
      <c r="A21" s="13" t="s">
        <v>241</v>
      </c>
      <c r="B21" s="21">
        <f>Concrete!B25</f>
        <v>167</v>
      </c>
    </row>
    <row r="22" spans="1:2">
      <c r="A22" s="13" t="s">
        <v>665</v>
      </c>
      <c r="B22" s="28">
        <f>Steel!E12</f>
        <v>4.7555555555555546</v>
      </c>
    </row>
    <row r="23" spans="1:2">
      <c r="A23" s="13" t="s">
        <v>666</v>
      </c>
      <c r="B23" s="23">
        <f>Concrete!F14</f>
        <v>945</v>
      </c>
    </row>
    <row r="24" spans="1:2">
      <c r="A24" s="13" t="s">
        <v>667</v>
      </c>
      <c r="B24" s="24">
        <f>'Order List'!H25</f>
        <v>0</v>
      </c>
    </row>
    <row r="26" spans="1:2" ht="30" customHeight="1">
      <c r="A26" s="37" t="str">
        <f>'Cost Estimate'!A34</f>
        <v>Warning: 16 rate(s) are blank on the Rates tab, so those costs show as zero.</v>
      </c>
      <c r="B26" s="35"/>
    </row>
    <row r="28" spans="1:2">
      <c r="A28" s="34" t="s">
        <v>668</v>
      </c>
      <c r="B28" s="35"/>
    </row>
    <row r="29" spans="1:2">
      <c r="A29" s="35"/>
      <c r="B29" s="35"/>
    </row>
    <row r="30" spans="1:2">
      <c r="A30" s="35"/>
      <c r="B30" s="35"/>
    </row>
    <row r="32" spans="1:2">
      <c r="A32" s="36" t="str">
        <f>IF(COUNTBLANK(Rates!C6:C21)&gt;0,"Next step: enter your rates on the Rates tab. Costs show zero until you do. Use Rate Quotes to compare two suppliers.",IF(COUNT(Services!B6:B22)=0,"Next step: count plumbing and electrical points on the Services tab.","Next step: check the Stage Budget and set your own target shares."))</f>
        <v>Next step: enter your rates on the Rates tab. Costs show zero until you do. Use Rate Quotes to compare two suppliers.</v>
      </c>
      <c r="B32" s="35"/>
    </row>
    <row r="33" spans="1:2">
      <c r="A33" s="35"/>
      <c r="B33" s="35"/>
    </row>
    <row r="34" spans="1:2">
      <c r="A34" s="35"/>
      <c r="B34" s="35"/>
    </row>
  </sheetData>
  <sheetProtection sheet="1" formatCells="0" formatColumns="0" formatRows="0"/>
  <mergeCells count="3">
    <mergeCell ref="A32:B34"/>
    <mergeCell ref="A26:B26"/>
    <mergeCell ref="A28:B30"/>
  </mergeCells>
  <pageMargins left="0.75" right="0.75" top="1" bottom="1" header="0.5" footer="0.5"/>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2F5D50"/>
  </sheetPr>
  <dimension ref="A1:G17"/>
  <sheetViews>
    <sheetView showGridLines="0" workbookViewId="0">
      <pane ySplit="6" topLeftCell="A7" activePane="bottomLeft" state="frozen"/>
      <selection pane="bottomLeft"/>
    </sheetView>
  </sheetViews>
  <sheetFormatPr defaultRowHeight="15"/>
  <cols>
    <col min="1" max="1" width="30" customWidth="1"/>
    <col min="2" max="2" width="10" customWidth="1"/>
    <col min="3" max="3" width="18" customWidth="1"/>
    <col min="4" max="4" width="20" customWidth="1"/>
    <col min="5" max="5" width="14" customWidth="1"/>
    <col min="6" max="6" width="16" customWidth="1"/>
    <col min="7" max="7" width="48" customWidth="1"/>
  </cols>
  <sheetData>
    <row r="1" spans="1:7" ht="19.5">
      <c r="A1" s="1" t="s">
        <v>669</v>
      </c>
    </row>
    <row r="2" spans="1:7">
      <c r="A2" s="2" t="s">
        <v>670</v>
      </c>
    </row>
    <row r="4" spans="1:7">
      <c r="A4" s="9" t="s">
        <v>671</v>
      </c>
      <c r="B4" s="17">
        <v>0.05</v>
      </c>
    </row>
    <row r="6" spans="1:7" ht="33.950000000000003" customHeight="1">
      <c r="A6" s="5" t="s">
        <v>168</v>
      </c>
      <c r="B6" s="5" t="s">
        <v>420</v>
      </c>
      <c r="C6" s="5" t="s">
        <v>672</v>
      </c>
      <c r="D6" s="5" t="s">
        <v>673</v>
      </c>
      <c r="E6" s="5" t="s">
        <v>674</v>
      </c>
      <c r="F6" s="5" t="s">
        <v>675</v>
      </c>
      <c r="G6" s="5" t="s">
        <v>676</v>
      </c>
    </row>
    <row r="7" spans="1:7">
      <c r="A7" s="9" t="s">
        <v>677</v>
      </c>
      <c r="B7" s="13" t="s">
        <v>678</v>
      </c>
      <c r="C7" s="23">
        <f>'Room Area'!E18</f>
        <v>954</v>
      </c>
      <c r="D7" s="11"/>
      <c r="E7" s="23" t="str">
        <f t="shared" ref="E7:E14" si="0">IF(D7="","",D7-C7)</f>
        <v/>
      </c>
      <c r="F7" s="25" t="str">
        <f t="shared" ref="F7:F14" si="1">IF(OR(D7="",C7=0),"",E7/C7)</f>
        <v/>
      </c>
      <c r="G7" s="6" t="str">
        <f t="shared" ref="G7:G14" si="2">IF(D7="","Enter the claim",IF(F7&gt;$B$4,"Claim is higher. Ask for the measurement sheet.",IF(F7&lt;-$B$4,"Claim is lower. Check the scope is complete.","Within the allowed difference")))</f>
        <v>Enter the claim</v>
      </c>
    </row>
    <row r="8" spans="1:7">
      <c r="A8" s="9" t="s">
        <v>679</v>
      </c>
      <c r="B8" s="13" t="s">
        <v>432</v>
      </c>
      <c r="C8" s="23">
        <f>Concrete!F14</f>
        <v>945</v>
      </c>
      <c r="D8" s="11"/>
      <c r="E8" s="23" t="str">
        <f t="shared" si="0"/>
        <v/>
      </c>
      <c r="F8" s="25" t="str">
        <f t="shared" si="1"/>
        <v/>
      </c>
      <c r="G8" s="6" t="str">
        <f t="shared" si="2"/>
        <v>Enter the claim</v>
      </c>
    </row>
    <row r="9" spans="1:7">
      <c r="A9" s="9" t="s">
        <v>680</v>
      </c>
      <c r="B9" s="13" t="s">
        <v>678</v>
      </c>
      <c r="C9" s="23">
        <f>'Bricks &amp; Blocks'!E11</f>
        <v>1904</v>
      </c>
      <c r="D9" s="11"/>
      <c r="E9" s="23" t="str">
        <f t="shared" si="0"/>
        <v/>
      </c>
      <c r="F9" s="25" t="str">
        <f t="shared" si="1"/>
        <v/>
      </c>
      <c r="G9" s="6" t="str">
        <f t="shared" si="2"/>
        <v>Enter the claim</v>
      </c>
    </row>
    <row r="10" spans="1:7">
      <c r="A10" s="9" t="s">
        <v>681</v>
      </c>
      <c r="B10" s="13" t="s">
        <v>445</v>
      </c>
      <c r="C10" s="23">
        <f>'Paint &amp; Tiles'!B38</f>
        <v>77</v>
      </c>
      <c r="D10" s="11"/>
      <c r="E10" s="23" t="str">
        <f t="shared" si="0"/>
        <v/>
      </c>
      <c r="F10" s="25" t="str">
        <f t="shared" si="1"/>
        <v/>
      </c>
      <c r="G10" s="6" t="str">
        <f t="shared" si="2"/>
        <v>Enter the claim</v>
      </c>
    </row>
    <row r="11" spans="1:7">
      <c r="A11" s="9" t="s">
        <v>442</v>
      </c>
      <c r="B11" s="13" t="s">
        <v>443</v>
      </c>
      <c r="C11" s="23">
        <f>'Paint &amp; Tiles'!B41</f>
        <v>271</v>
      </c>
      <c r="D11" s="11"/>
      <c r="E11" s="23" t="str">
        <f t="shared" si="0"/>
        <v/>
      </c>
      <c r="F11" s="25" t="str">
        <f t="shared" si="1"/>
        <v/>
      </c>
      <c r="G11" s="6" t="str">
        <f t="shared" si="2"/>
        <v>Enter the claim</v>
      </c>
    </row>
    <row r="12" spans="1:7">
      <c r="A12" s="9" t="s">
        <v>682</v>
      </c>
      <c r="B12" s="13" t="s">
        <v>441</v>
      </c>
      <c r="C12" s="23">
        <f>'Bricks &amp; Blocks'!B21</f>
        <v>15571</v>
      </c>
      <c r="D12" s="11"/>
      <c r="E12" s="23" t="str">
        <f t="shared" si="0"/>
        <v/>
      </c>
      <c r="F12" s="25" t="str">
        <f t="shared" si="1"/>
        <v/>
      </c>
      <c r="G12" s="6" t="str">
        <f t="shared" si="2"/>
        <v>Enter the claim</v>
      </c>
    </row>
    <row r="13" spans="1:7">
      <c r="A13" s="9" t="s">
        <v>683</v>
      </c>
      <c r="B13" s="13" t="s">
        <v>430</v>
      </c>
      <c r="C13" s="23">
        <f>Concrete!B25</f>
        <v>167</v>
      </c>
      <c r="D13" s="11"/>
      <c r="E13" s="23" t="str">
        <f t="shared" si="0"/>
        <v/>
      </c>
      <c r="F13" s="25" t="str">
        <f t="shared" si="1"/>
        <v/>
      </c>
      <c r="G13" s="6" t="str">
        <f t="shared" si="2"/>
        <v>Enter the claim</v>
      </c>
    </row>
    <row r="14" spans="1:7">
      <c r="A14" s="9" t="s">
        <v>49</v>
      </c>
      <c r="B14" s="13" t="s">
        <v>435</v>
      </c>
      <c r="C14" s="23">
        <f>Steel!D12</f>
        <v>4755.5555555555547</v>
      </c>
      <c r="D14" s="11"/>
      <c r="E14" s="23" t="str">
        <f t="shared" si="0"/>
        <v/>
      </c>
      <c r="F14" s="25" t="str">
        <f t="shared" si="1"/>
        <v/>
      </c>
      <c r="G14" s="6" t="str">
        <f t="shared" si="2"/>
        <v>Enter the claim</v>
      </c>
    </row>
    <row r="16" spans="1:7">
      <c r="A16" s="13" t="s">
        <v>684</v>
      </c>
    </row>
    <row r="17" spans="1:1">
      <c r="A17" s="13" t="s">
        <v>685</v>
      </c>
    </row>
  </sheetData>
  <sheetProtection sheet="1" formatCells="0" formatColumns="0" formatRows="0"/>
  <conditionalFormatting sqref="G7:G14">
    <cfRule type="expression" dxfId="1" priority="1">
      <formula>LEFT($G7,5)="Claim"</formula>
    </cfRule>
  </conditionalFormatting>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2F5D50"/>
  </sheetPr>
  <dimension ref="A1:G11"/>
  <sheetViews>
    <sheetView showGridLines="0" workbookViewId="0"/>
  </sheetViews>
  <sheetFormatPr defaultRowHeight="15"/>
  <cols>
    <col min="1" max="1" width="28" customWidth="1"/>
    <col min="2" max="2" width="16" customWidth="1"/>
    <col min="3" max="5" width="18" customWidth="1"/>
    <col min="6" max="6" width="12" customWidth="1"/>
    <col min="7" max="7" width="20" customWidth="1"/>
  </cols>
  <sheetData>
    <row r="1" spans="1:7" ht="19.5">
      <c r="A1" s="1" t="s">
        <v>686</v>
      </c>
    </row>
    <row r="2" spans="1:7">
      <c r="A2" s="2" t="s">
        <v>687</v>
      </c>
    </row>
    <row r="5" spans="1:7" ht="33.950000000000003" customHeight="1">
      <c r="A5" s="5" t="s">
        <v>655</v>
      </c>
      <c r="B5" s="5" t="s">
        <v>106</v>
      </c>
      <c r="C5" s="5" t="s">
        <v>688</v>
      </c>
      <c r="D5" s="5" t="s">
        <v>689</v>
      </c>
      <c r="E5" s="5" t="s">
        <v>690</v>
      </c>
      <c r="F5" s="5" t="s">
        <v>691</v>
      </c>
      <c r="G5" s="5" t="s">
        <v>326</v>
      </c>
    </row>
    <row r="6" spans="1:7">
      <c r="A6" s="10"/>
      <c r="B6" s="10"/>
      <c r="C6" s="12"/>
      <c r="D6" s="12"/>
      <c r="E6" s="12"/>
      <c r="F6" s="25" t="str">
        <f>IF(D6="","",IF(D6=0,"",E6/D6))</f>
        <v/>
      </c>
      <c r="G6" s="10"/>
    </row>
    <row r="7" spans="1:7">
      <c r="A7" s="10"/>
      <c r="B7" s="10"/>
      <c r="C7" s="12"/>
      <c r="D7" s="12"/>
      <c r="E7" s="12"/>
      <c r="F7" s="25" t="str">
        <f>IF(D7="","",IF(D7=0,"",E7/D7))</f>
        <v/>
      </c>
      <c r="G7" s="10"/>
    </row>
    <row r="8" spans="1:7">
      <c r="A8" s="10"/>
      <c r="B8" s="10"/>
      <c r="C8" s="12"/>
      <c r="D8" s="12"/>
      <c r="E8" s="12"/>
      <c r="F8" s="25" t="str">
        <f>IF(D8="","",IF(D8=0,"",E8/D8))</f>
        <v/>
      </c>
      <c r="G8" s="10"/>
    </row>
    <row r="9" spans="1:7">
      <c r="A9" s="10"/>
      <c r="B9" s="10"/>
      <c r="C9" s="12"/>
      <c r="D9" s="12"/>
      <c r="E9" s="12"/>
      <c r="F9" s="25" t="str">
        <f>IF(D9="","",IF(D9=0,"",E9/D9))</f>
        <v/>
      </c>
      <c r="G9" s="10"/>
    </row>
    <row r="10" spans="1:7">
      <c r="A10" s="10"/>
      <c r="B10" s="10"/>
      <c r="C10" s="12"/>
      <c r="D10" s="12"/>
      <c r="E10" s="12"/>
      <c r="F10" s="25" t="str">
        <f>IF(D10="","",IF(D10=0,"",E10/D10))</f>
        <v/>
      </c>
      <c r="G10" s="10"/>
    </row>
    <row r="11" spans="1:7">
      <c r="A11" s="9" t="s">
        <v>163</v>
      </c>
      <c r="C11" s="24">
        <f>SUM(C6:C10)</f>
        <v>0</v>
      </c>
      <c r="D11" s="24">
        <f>SUM(D6:D10)</f>
        <v>0</v>
      </c>
      <c r="E11" s="24">
        <f>SUM(E6:E10)</f>
        <v>0</v>
      </c>
    </row>
  </sheetData>
  <sheetProtection sheet="1" formatCells="0" formatColumns="0" formatRows="0"/>
  <dataValidations count="1">
    <dataValidation type="list" allowBlank="1" sqref="G6 G7 G8 G9 G10" xr:uid="{00000000-0002-0000-1900-000000000000}">
      <formula1>"Planning,Under construction,Finished,On hold"</formula1>
    </dataValidation>
  </dataValidation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2F5D50"/>
  </sheetPr>
  <dimension ref="A1:J18"/>
  <sheetViews>
    <sheetView showGridLines="0" workbookViewId="0"/>
  </sheetViews>
  <sheetFormatPr defaultRowHeight="15"/>
  <cols>
    <col min="1" max="1" width="18" customWidth="1"/>
    <col min="2" max="2" width="20" customWidth="1"/>
    <col min="3" max="3" width="14" customWidth="1"/>
    <col min="4" max="4" width="20" customWidth="1"/>
    <col min="5" max="5" width="14" customWidth="1"/>
    <col min="6" max="6" width="20" customWidth="1"/>
    <col min="7" max="7" width="14" customWidth="1"/>
    <col min="8" max="8" width="18" customWidth="1"/>
    <col min="9" max="10" width="22" customWidth="1"/>
  </cols>
  <sheetData>
    <row r="1" spans="1:10" ht="19.5">
      <c r="A1" s="1" t="s">
        <v>692</v>
      </c>
    </row>
    <row r="2" spans="1:10">
      <c r="A2" s="2" t="s">
        <v>693</v>
      </c>
    </row>
    <row r="5" spans="1:10" ht="33.950000000000003" customHeight="1">
      <c r="A5" s="5" t="s">
        <v>694</v>
      </c>
      <c r="B5" s="5" t="s">
        <v>695</v>
      </c>
      <c r="C5" s="5" t="s">
        <v>696</v>
      </c>
      <c r="D5" s="5" t="s">
        <v>697</v>
      </c>
      <c r="E5" s="5" t="s">
        <v>698</v>
      </c>
      <c r="F5" s="5" t="s">
        <v>699</v>
      </c>
      <c r="G5" s="5" t="s">
        <v>700</v>
      </c>
      <c r="H5" s="5" t="s">
        <v>701</v>
      </c>
      <c r="I5" s="5" t="s">
        <v>702</v>
      </c>
      <c r="J5" s="5" t="s">
        <v>703</v>
      </c>
    </row>
    <row r="6" spans="1:10">
      <c r="A6" s="10" t="s">
        <v>704</v>
      </c>
      <c r="B6" s="10"/>
      <c r="C6" s="12"/>
      <c r="D6" s="10"/>
      <c r="E6" s="12"/>
      <c r="F6" s="10"/>
      <c r="G6" s="12"/>
      <c r="H6" s="24" t="str">
        <f t="shared" ref="H6:H14" si="0">IF(COUNT(C6,E6,G6)=0,"",MIN(C6,E6,G6))</f>
        <v/>
      </c>
      <c r="I6" s="6" t="str">
        <f t="shared" ref="I6:I14" si="1">IF(H6="","",IF(C6=H6,B6,IF(E6=H6,D6,F6)))</f>
        <v/>
      </c>
      <c r="J6" s="24" t="str">
        <f t="shared" ref="J6:J14" si="2">IF(COUNT(C6,E6,G6)&lt;2,"",MAX(C6,E6,G6)-H6)</f>
        <v/>
      </c>
    </row>
    <row r="7" spans="1:10">
      <c r="A7" s="10" t="s">
        <v>705</v>
      </c>
      <c r="B7" s="10"/>
      <c r="C7" s="12"/>
      <c r="D7" s="10"/>
      <c r="E7" s="12"/>
      <c r="F7" s="10"/>
      <c r="G7" s="12"/>
      <c r="H7" s="24" t="str">
        <f t="shared" si="0"/>
        <v/>
      </c>
      <c r="I7" s="6" t="str">
        <f t="shared" si="1"/>
        <v/>
      </c>
      <c r="J7" s="24" t="str">
        <f t="shared" si="2"/>
        <v/>
      </c>
    </row>
    <row r="8" spans="1:10">
      <c r="A8" s="10" t="s">
        <v>706</v>
      </c>
      <c r="B8" s="10"/>
      <c r="C8" s="12"/>
      <c r="D8" s="10"/>
      <c r="E8" s="12"/>
      <c r="F8" s="10"/>
      <c r="G8" s="12"/>
      <c r="H8" s="24" t="str">
        <f t="shared" si="0"/>
        <v/>
      </c>
      <c r="I8" s="6" t="str">
        <f t="shared" si="1"/>
        <v/>
      </c>
      <c r="J8" s="24" t="str">
        <f t="shared" si="2"/>
        <v/>
      </c>
    </row>
    <row r="9" spans="1:10">
      <c r="A9" s="10" t="s">
        <v>341</v>
      </c>
      <c r="B9" s="10"/>
      <c r="C9" s="12"/>
      <c r="D9" s="10"/>
      <c r="E9" s="12"/>
      <c r="F9" s="10"/>
      <c r="G9" s="12"/>
      <c r="H9" s="24" t="str">
        <f t="shared" si="0"/>
        <v/>
      </c>
      <c r="I9" s="6" t="str">
        <f t="shared" si="1"/>
        <v/>
      </c>
      <c r="J9" s="24" t="str">
        <f t="shared" si="2"/>
        <v/>
      </c>
    </row>
    <row r="10" spans="1:10">
      <c r="A10" s="10" t="s">
        <v>707</v>
      </c>
      <c r="B10" s="10"/>
      <c r="C10" s="12"/>
      <c r="D10" s="10"/>
      <c r="E10" s="12"/>
      <c r="F10" s="10"/>
      <c r="G10" s="12"/>
      <c r="H10" s="24" t="str">
        <f t="shared" si="0"/>
        <v/>
      </c>
      <c r="I10" s="6" t="str">
        <f t="shared" si="1"/>
        <v/>
      </c>
      <c r="J10" s="24" t="str">
        <f t="shared" si="2"/>
        <v/>
      </c>
    </row>
    <row r="11" spans="1:10">
      <c r="A11" s="10" t="s">
        <v>708</v>
      </c>
      <c r="B11" s="10"/>
      <c r="C11" s="12"/>
      <c r="D11" s="10"/>
      <c r="E11" s="12"/>
      <c r="F11" s="10"/>
      <c r="G11" s="12"/>
      <c r="H11" s="24" t="str">
        <f t="shared" si="0"/>
        <v/>
      </c>
      <c r="I11" s="6" t="str">
        <f t="shared" si="1"/>
        <v/>
      </c>
      <c r="J11" s="24" t="str">
        <f t="shared" si="2"/>
        <v/>
      </c>
    </row>
    <row r="12" spans="1:10">
      <c r="A12" s="10" t="s">
        <v>154</v>
      </c>
      <c r="B12" s="10"/>
      <c r="C12" s="12"/>
      <c r="D12" s="10"/>
      <c r="E12" s="12"/>
      <c r="F12" s="10"/>
      <c r="G12" s="12"/>
      <c r="H12" s="24" t="str">
        <f t="shared" si="0"/>
        <v/>
      </c>
      <c r="I12" s="6" t="str">
        <f t="shared" si="1"/>
        <v/>
      </c>
      <c r="J12" s="24" t="str">
        <f t="shared" si="2"/>
        <v/>
      </c>
    </row>
    <row r="13" spans="1:10">
      <c r="A13" s="10" t="s">
        <v>247</v>
      </c>
      <c r="B13" s="10"/>
      <c r="C13" s="12"/>
      <c r="D13" s="10"/>
      <c r="E13" s="12"/>
      <c r="F13" s="10"/>
      <c r="G13" s="12"/>
      <c r="H13" s="24" t="str">
        <f t="shared" si="0"/>
        <v/>
      </c>
      <c r="I13" s="6" t="str">
        <f t="shared" si="1"/>
        <v/>
      </c>
      <c r="J13" s="24" t="str">
        <f t="shared" si="2"/>
        <v/>
      </c>
    </row>
    <row r="14" spans="1:10">
      <c r="A14" s="10" t="s">
        <v>359</v>
      </c>
      <c r="B14" s="10"/>
      <c r="C14" s="12"/>
      <c r="D14" s="10"/>
      <c r="E14" s="12"/>
      <c r="F14" s="10"/>
      <c r="G14" s="12"/>
      <c r="H14" s="24" t="str">
        <f t="shared" si="0"/>
        <v/>
      </c>
      <c r="I14" s="6" t="str">
        <f t="shared" si="1"/>
        <v/>
      </c>
      <c r="J14" s="24" t="str">
        <f t="shared" si="2"/>
        <v/>
      </c>
    </row>
    <row r="16" spans="1:10">
      <c r="A16" s="9" t="s">
        <v>163</v>
      </c>
      <c r="H16" s="24">
        <f>SUM(H6:H14)</f>
        <v>0</v>
      </c>
      <c r="J16" s="24">
        <f>SUM(J6:J14)</f>
        <v>0</v>
      </c>
    </row>
    <row r="18" spans="1:1">
      <c r="A18" s="13" t="s">
        <v>709</v>
      </c>
    </row>
  </sheetData>
  <sheetProtection sheet="1" formatCells="0" formatColumns="0" formatRows="0"/>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2F5D50"/>
  </sheetPr>
  <dimension ref="A1:H35"/>
  <sheetViews>
    <sheetView showGridLines="0" workbookViewId="0"/>
  </sheetViews>
  <sheetFormatPr defaultRowHeight="15"/>
  <cols>
    <col min="1" max="1" width="14" customWidth="1"/>
    <col min="2" max="2" width="22" customWidth="1"/>
    <col min="3" max="3" width="30" customWidth="1"/>
    <col min="4" max="5" width="22" customWidth="1"/>
    <col min="6" max="6" width="26" customWidth="1"/>
    <col min="7" max="7" width="28" customWidth="1"/>
    <col min="8" max="8" width="26" customWidth="1"/>
  </cols>
  <sheetData>
    <row r="1" spans="1:8" ht="19.5">
      <c r="A1" s="1" t="s">
        <v>710</v>
      </c>
    </row>
    <row r="2" spans="1:8">
      <c r="A2" s="2" t="s">
        <v>711</v>
      </c>
    </row>
    <row r="4" spans="1:8">
      <c r="A4" s="3" t="s">
        <v>712</v>
      </c>
      <c r="B4" s="4"/>
      <c r="C4" s="4"/>
      <c r="D4" s="4"/>
      <c r="E4" s="4"/>
      <c r="F4" s="4"/>
      <c r="G4" s="3" t="s">
        <v>713</v>
      </c>
    </row>
    <row r="5" spans="1:8" ht="33.950000000000003" customHeight="1">
      <c r="A5" s="5" t="s">
        <v>714</v>
      </c>
      <c r="B5" s="5" t="s">
        <v>715</v>
      </c>
      <c r="C5" s="5" t="s">
        <v>716</v>
      </c>
      <c r="D5" s="5" t="s">
        <v>717</v>
      </c>
      <c r="E5" s="5" t="s">
        <v>718</v>
      </c>
      <c r="F5" s="5" t="s">
        <v>190</v>
      </c>
      <c r="G5" s="9" t="s">
        <v>658</v>
      </c>
      <c r="H5" s="24">
        <f>'Cost Estimate'!C29</f>
        <v>0</v>
      </c>
    </row>
    <row r="6" spans="1:8">
      <c r="A6" s="18"/>
      <c r="B6" s="10"/>
      <c r="C6" s="10"/>
      <c r="D6" s="12"/>
      <c r="E6" s="10"/>
      <c r="F6" s="10"/>
      <c r="G6" s="9" t="s">
        <v>719</v>
      </c>
      <c r="H6" s="24">
        <f>C35</f>
        <v>0</v>
      </c>
    </row>
    <row r="7" spans="1:8">
      <c r="A7" s="18"/>
      <c r="B7" s="10"/>
      <c r="C7" s="10"/>
      <c r="D7" s="12"/>
      <c r="E7" s="10"/>
      <c r="F7" s="10"/>
      <c r="G7" s="9" t="s">
        <v>720</v>
      </c>
      <c r="H7" s="24">
        <f>IF(H11="Yes",H5+MAX(0,H6-'Cost Estimate'!C27),H5+H6)</f>
        <v>0</v>
      </c>
    </row>
    <row r="8" spans="1:8">
      <c r="A8" s="18"/>
      <c r="B8" s="10"/>
      <c r="C8" s="10"/>
      <c r="D8" s="12"/>
      <c r="E8" s="10"/>
      <c r="F8" s="10"/>
      <c r="G8" s="9" t="s">
        <v>721</v>
      </c>
      <c r="H8" s="24">
        <f>D21</f>
        <v>0</v>
      </c>
    </row>
    <row r="9" spans="1:8">
      <c r="A9" s="18"/>
      <c r="B9" s="10"/>
      <c r="C9" s="10"/>
      <c r="D9" s="12"/>
      <c r="E9" s="10"/>
      <c r="F9" s="10"/>
      <c r="G9" s="9" t="s">
        <v>722</v>
      </c>
      <c r="H9" s="24">
        <f>H7-H8</f>
        <v>0</v>
      </c>
    </row>
    <row r="10" spans="1:8">
      <c r="A10" s="18"/>
      <c r="B10" s="10"/>
      <c r="C10" s="10"/>
      <c r="D10" s="12"/>
      <c r="E10" s="10"/>
      <c r="F10" s="10"/>
      <c r="G10" s="9" t="s">
        <v>723</v>
      </c>
      <c r="H10" s="24">
        <f>SUMIF(E6:E20,"Deposit",D6:D20)</f>
        <v>0</v>
      </c>
    </row>
    <row r="11" spans="1:8">
      <c r="A11" s="18"/>
      <c r="B11" s="10"/>
      <c r="C11" s="10"/>
      <c r="D11" s="12"/>
      <c r="E11" s="10"/>
      <c r="F11" s="10"/>
      <c r="G11" s="9" t="s">
        <v>724</v>
      </c>
      <c r="H11" s="10" t="s">
        <v>725</v>
      </c>
    </row>
    <row r="12" spans="1:8">
      <c r="A12" s="18"/>
      <c r="B12" s="10"/>
      <c r="C12" s="10"/>
      <c r="D12" s="12"/>
      <c r="E12" s="10"/>
      <c r="F12" s="10"/>
    </row>
    <row r="13" spans="1:8">
      <c r="A13" s="18"/>
      <c r="B13" s="10"/>
      <c r="C13" s="10"/>
      <c r="D13" s="12"/>
      <c r="E13" s="10"/>
      <c r="F13" s="10"/>
    </row>
    <row r="14" spans="1:8">
      <c r="A14" s="18"/>
      <c r="B14" s="10"/>
      <c r="C14" s="10"/>
      <c r="D14" s="12"/>
      <c r="E14" s="10"/>
      <c r="F14" s="10"/>
    </row>
    <row r="15" spans="1:8">
      <c r="A15" s="18"/>
      <c r="B15" s="10"/>
      <c r="C15" s="10"/>
      <c r="D15" s="12"/>
      <c r="E15" s="10"/>
      <c r="F15" s="10"/>
    </row>
    <row r="16" spans="1:8">
      <c r="A16" s="18"/>
      <c r="B16" s="10"/>
      <c r="C16" s="10"/>
      <c r="D16" s="12"/>
      <c r="E16" s="10"/>
      <c r="F16" s="10"/>
    </row>
    <row r="17" spans="1:6">
      <c r="A17" s="18"/>
      <c r="B17" s="10"/>
      <c r="C17" s="10"/>
      <c r="D17" s="12"/>
      <c r="E17" s="10"/>
      <c r="F17" s="10"/>
    </row>
    <row r="18" spans="1:6">
      <c r="A18" s="18"/>
      <c r="B18" s="10"/>
      <c r="C18" s="10"/>
      <c r="D18" s="12"/>
      <c r="E18" s="10"/>
      <c r="F18" s="10"/>
    </row>
    <row r="19" spans="1:6">
      <c r="A19" s="18"/>
      <c r="B19" s="10"/>
      <c r="C19" s="10"/>
      <c r="D19" s="12"/>
      <c r="E19" s="10"/>
      <c r="F19" s="10"/>
    </row>
    <row r="20" spans="1:6">
      <c r="A20" s="18"/>
      <c r="B20" s="10"/>
      <c r="C20" s="10"/>
      <c r="D20" s="12"/>
      <c r="E20" s="10"/>
      <c r="F20" s="10"/>
    </row>
    <row r="21" spans="1:6">
      <c r="C21" s="9" t="s">
        <v>726</v>
      </c>
      <c r="D21" s="24">
        <f>SUM(D6:D20)</f>
        <v>0</v>
      </c>
    </row>
    <row r="23" spans="1:6">
      <c r="A23" s="3" t="s">
        <v>727</v>
      </c>
      <c r="B23" s="4"/>
      <c r="C23" s="4"/>
      <c r="D23" s="4"/>
      <c r="E23" s="4"/>
      <c r="F23" s="4"/>
    </row>
    <row r="24" spans="1:6" ht="33.950000000000003" customHeight="1">
      <c r="A24" s="5" t="s">
        <v>714</v>
      </c>
      <c r="B24" s="5" t="s">
        <v>728</v>
      </c>
      <c r="C24" s="5" t="s">
        <v>729</v>
      </c>
      <c r="D24" s="5" t="s">
        <v>730</v>
      </c>
    </row>
    <row r="25" spans="1:6">
      <c r="A25" s="18"/>
      <c r="B25" s="10"/>
      <c r="C25" s="12"/>
      <c r="D25" s="10"/>
    </row>
    <row r="26" spans="1:6">
      <c r="A26" s="18"/>
      <c r="B26" s="10"/>
      <c r="C26" s="12"/>
      <c r="D26" s="10"/>
    </row>
    <row r="27" spans="1:6">
      <c r="A27" s="18"/>
      <c r="B27" s="10"/>
      <c r="C27" s="12"/>
      <c r="D27" s="10"/>
    </row>
    <row r="28" spans="1:6">
      <c r="A28" s="18"/>
      <c r="B28" s="10"/>
      <c r="C28" s="12"/>
      <c r="D28" s="10"/>
    </row>
    <row r="29" spans="1:6">
      <c r="A29" s="18"/>
      <c r="B29" s="10"/>
      <c r="C29" s="12"/>
      <c r="D29" s="10"/>
    </row>
    <row r="30" spans="1:6">
      <c r="A30" s="18"/>
      <c r="B30" s="10"/>
      <c r="C30" s="12"/>
      <c r="D30" s="10"/>
    </row>
    <row r="31" spans="1:6">
      <c r="A31" s="18"/>
      <c r="B31" s="10"/>
      <c r="C31" s="12"/>
      <c r="D31" s="10"/>
    </row>
    <row r="32" spans="1:6">
      <c r="A32" s="18"/>
      <c r="B32" s="10"/>
      <c r="C32" s="12"/>
      <c r="D32" s="10"/>
    </row>
    <row r="33" spans="1:4">
      <c r="A33" s="18"/>
      <c r="B33" s="10"/>
      <c r="C33" s="12"/>
      <c r="D33" s="10"/>
    </row>
    <row r="34" spans="1:4">
      <c r="A34" s="18"/>
      <c r="B34" s="10"/>
      <c r="C34" s="12"/>
      <c r="D34" s="10"/>
    </row>
    <row r="35" spans="1:4">
      <c r="B35" s="9" t="s">
        <v>731</v>
      </c>
      <c r="C35" s="24">
        <f>SUMIF(D25:D34,"Yes",C25:C34)</f>
        <v>0</v>
      </c>
    </row>
  </sheetData>
  <sheetProtection sheet="1" formatCells="0" formatColumns="0" formatRows="0"/>
  <dataValidations count="3">
    <dataValidation type="list" allowBlank="1" sqref="E6 E7 E8 E9 E10 E11 E12 E13 E14 E15 E16 E17 E18 E19 E20" xr:uid="{00000000-0002-0000-1B00-000000000000}">
      <formula1>"Deposit,Stage payment,Final payment,Retention,Other"</formula1>
    </dataValidation>
    <dataValidation type="list" allowBlank="1" sqref="D25 D26 D27 D28 D29 D30 D31 D32 D33 D34" xr:uid="{00000000-0002-0000-1B00-000001000000}">
      <formula1>"Yes,No,Pending"</formula1>
    </dataValidation>
    <dataValidation type="list" allowBlank="1" sqref="H11" xr:uid="{00000000-0002-0000-1B00-000002000000}">
      <formula1>"Yes,No"</formula1>
    </dataValidation>
  </dataValidation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2F5D50"/>
  </sheetPr>
  <dimension ref="A1:G28"/>
  <sheetViews>
    <sheetView showGridLines="0" workbookViewId="0">
      <pane ySplit="5" topLeftCell="A6" activePane="bottomLeft" state="frozen"/>
      <selection pane="bottomLeft"/>
    </sheetView>
  </sheetViews>
  <sheetFormatPr defaultRowHeight="15"/>
  <cols>
    <col min="1" max="1" width="30" customWidth="1"/>
    <col min="2" max="3" width="16" customWidth="1"/>
    <col min="4" max="4" width="10" customWidth="1"/>
    <col min="5" max="5" width="16" customWidth="1"/>
    <col min="6" max="7" width="14" customWidth="1"/>
  </cols>
  <sheetData>
    <row r="1" spans="1:7" ht="19.5">
      <c r="A1" s="1" t="s">
        <v>732</v>
      </c>
    </row>
    <row r="2" spans="1:7">
      <c r="A2" s="2" t="s">
        <v>733</v>
      </c>
    </row>
    <row r="5" spans="1:7" ht="33.950000000000003" customHeight="1">
      <c r="A5" s="5" t="s">
        <v>734</v>
      </c>
      <c r="B5" s="5" t="s">
        <v>141</v>
      </c>
      <c r="C5" s="5" t="s">
        <v>735</v>
      </c>
      <c r="D5" s="5" t="s">
        <v>736</v>
      </c>
      <c r="E5" s="5" t="s">
        <v>326</v>
      </c>
      <c r="F5" s="5" t="s">
        <v>737</v>
      </c>
      <c r="G5" s="5" t="s">
        <v>460</v>
      </c>
    </row>
    <row r="6" spans="1:7">
      <c r="A6" s="10" t="s">
        <v>738</v>
      </c>
      <c r="B6" s="18">
        <f>IF(Setup!$B$14="",DATE(2026,11,1),Setup!$B$14)+0</f>
        <v>46327</v>
      </c>
      <c r="C6" s="18">
        <f>IF(Setup!$B$14="",DATE(2026,11,1),Setup!$B$14)+20</f>
        <v>46347</v>
      </c>
      <c r="D6" s="21">
        <f t="shared" ref="D6:D25" si="0">IF(OR(B6="",C6=""),"",C6-B6+1)</f>
        <v>21</v>
      </c>
      <c r="E6" s="10" t="s">
        <v>466</v>
      </c>
      <c r="F6" s="17">
        <v>0</v>
      </c>
      <c r="G6" s="21">
        <f t="shared" ref="G6:G25" ca="1" si="1">IF(C6="","",C6-TODAY())</f>
        <v>39</v>
      </c>
    </row>
    <row r="7" spans="1:7">
      <c r="A7" s="10" t="s">
        <v>739</v>
      </c>
      <c r="B7" s="18">
        <f>IF(Setup!$B$14="",DATE(2026,11,1),Setup!$B$14)+21</f>
        <v>46348</v>
      </c>
      <c r="C7" s="18">
        <f>IF(Setup!$B$14="",DATE(2026,11,1),Setup!$B$14)+27</f>
        <v>46354</v>
      </c>
      <c r="D7" s="21">
        <f t="shared" si="0"/>
        <v>7</v>
      </c>
      <c r="E7" s="10" t="s">
        <v>466</v>
      </c>
      <c r="F7" s="17">
        <v>0</v>
      </c>
      <c r="G7" s="21">
        <f t="shared" ca="1" si="1"/>
        <v>46</v>
      </c>
    </row>
    <row r="8" spans="1:7">
      <c r="A8" s="10" t="s">
        <v>740</v>
      </c>
      <c r="B8" s="18">
        <f>IF(Setup!$B$14="",DATE(2026,11,1),Setup!$B$14)+28</f>
        <v>46355</v>
      </c>
      <c r="C8" s="18">
        <f>IF(Setup!$B$14="",DATE(2026,11,1),Setup!$B$14)+41</f>
        <v>46368</v>
      </c>
      <c r="D8" s="21">
        <f t="shared" si="0"/>
        <v>14</v>
      </c>
      <c r="E8" s="10" t="s">
        <v>466</v>
      </c>
      <c r="F8" s="17">
        <v>0</v>
      </c>
      <c r="G8" s="21">
        <f t="shared" ca="1" si="1"/>
        <v>60</v>
      </c>
    </row>
    <row r="9" spans="1:7">
      <c r="A9" s="10" t="s">
        <v>741</v>
      </c>
      <c r="B9" s="18">
        <f>IF(Setup!$B$14="",DATE(2026,11,1),Setup!$B$14)+42</f>
        <v>46369</v>
      </c>
      <c r="C9" s="18">
        <f>IF(Setup!$B$14="",DATE(2026,11,1),Setup!$B$14)+69</f>
        <v>46396</v>
      </c>
      <c r="D9" s="21">
        <f t="shared" si="0"/>
        <v>28</v>
      </c>
      <c r="E9" s="10" t="s">
        <v>466</v>
      </c>
      <c r="F9" s="17">
        <v>0</v>
      </c>
      <c r="G9" s="21">
        <f t="shared" ca="1" si="1"/>
        <v>88</v>
      </c>
    </row>
    <row r="10" spans="1:7">
      <c r="A10" s="10" t="s">
        <v>742</v>
      </c>
      <c r="B10" s="18">
        <f>IF(Setup!$B$14="",DATE(2026,11,1),Setup!$B$14)+70</f>
        <v>46397</v>
      </c>
      <c r="C10" s="18">
        <f>IF(Setup!$B$14="",DATE(2026,11,1),Setup!$B$14)+90</f>
        <v>46417</v>
      </c>
      <c r="D10" s="21">
        <f t="shared" si="0"/>
        <v>21</v>
      </c>
      <c r="E10" s="10" t="s">
        <v>466</v>
      </c>
      <c r="F10" s="17">
        <v>0</v>
      </c>
      <c r="G10" s="21">
        <f t="shared" ca="1" si="1"/>
        <v>109</v>
      </c>
    </row>
    <row r="11" spans="1:7">
      <c r="A11" s="10" t="s">
        <v>348</v>
      </c>
      <c r="B11" s="18">
        <f>IF(Setup!$B$14="",DATE(2026,11,1),Setup!$B$14)+91</f>
        <v>46418</v>
      </c>
      <c r="C11" s="18">
        <f>IF(Setup!$B$14="",DATE(2026,11,1),Setup!$B$14)+111</f>
        <v>46438</v>
      </c>
      <c r="D11" s="21">
        <f t="shared" si="0"/>
        <v>21</v>
      </c>
      <c r="E11" s="10" t="s">
        <v>466</v>
      </c>
      <c r="F11" s="17">
        <v>0</v>
      </c>
      <c r="G11" s="21">
        <f t="shared" ca="1" si="1"/>
        <v>130</v>
      </c>
    </row>
    <row r="12" spans="1:7">
      <c r="A12" s="10" t="s">
        <v>743</v>
      </c>
      <c r="B12" s="18">
        <f>IF(Setup!$B$14="",DATE(2026,11,1),Setup!$B$14)+112</f>
        <v>46439</v>
      </c>
      <c r="C12" s="18">
        <f>IF(Setup!$B$14="",DATE(2026,11,1),Setup!$B$14)+125</f>
        <v>46452</v>
      </c>
      <c r="D12" s="21">
        <f t="shared" si="0"/>
        <v>14</v>
      </c>
      <c r="E12" s="10" t="s">
        <v>466</v>
      </c>
      <c r="F12" s="17">
        <v>0</v>
      </c>
      <c r="G12" s="21">
        <f t="shared" ca="1" si="1"/>
        <v>144</v>
      </c>
    </row>
    <row r="13" spans="1:7">
      <c r="A13" s="10" t="s">
        <v>339</v>
      </c>
      <c r="B13" s="18">
        <f>IF(Setup!$B$14="",DATE(2026,11,1),Setup!$B$14)+126</f>
        <v>46453</v>
      </c>
      <c r="C13" s="18">
        <f>IF(Setup!$B$14="",DATE(2026,11,1),Setup!$B$14)+139</f>
        <v>46466</v>
      </c>
      <c r="D13" s="21">
        <f t="shared" si="0"/>
        <v>14</v>
      </c>
      <c r="E13" s="10" t="s">
        <v>466</v>
      </c>
      <c r="F13" s="17">
        <v>0</v>
      </c>
      <c r="G13" s="21">
        <f t="shared" ca="1" si="1"/>
        <v>158</v>
      </c>
    </row>
    <row r="14" spans="1:7">
      <c r="A14" s="10" t="s">
        <v>341</v>
      </c>
      <c r="B14" s="18">
        <f>IF(Setup!$B$14="",DATE(2026,11,1),Setup!$B$14)+140</f>
        <v>46467</v>
      </c>
      <c r="C14" s="18">
        <f>IF(Setup!$B$14="",DATE(2026,11,1),Setup!$B$14)+149</f>
        <v>46476</v>
      </c>
      <c r="D14" s="21">
        <f t="shared" si="0"/>
        <v>10</v>
      </c>
      <c r="E14" s="10" t="s">
        <v>466</v>
      </c>
      <c r="F14" s="17">
        <v>0</v>
      </c>
      <c r="G14" s="21">
        <f t="shared" ca="1" si="1"/>
        <v>168</v>
      </c>
    </row>
    <row r="15" spans="1:7">
      <c r="A15" s="10" t="s">
        <v>744</v>
      </c>
      <c r="B15" s="18">
        <f>IF(Setup!$B$14="",DATE(2026,11,1),Setup!$B$14)+150</f>
        <v>46477</v>
      </c>
      <c r="C15" s="18">
        <f>IF(Setup!$B$14="",DATE(2026,11,1),Setup!$B$14)+163</f>
        <v>46490</v>
      </c>
      <c r="D15" s="21">
        <f t="shared" si="0"/>
        <v>14</v>
      </c>
      <c r="E15" s="10" t="s">
        <v>466</v>
      </c>
      <c r="F15" s="17">
        <v>0</v>
      </c>
      <c r="G15" s="21">
        <f t="shared" ca="1" si="1"/>
        <v>182</v>
      </c>
    </row>
    <row r="16" spans="1:7">
      <c r="A16" s="10" t="s">
        <v>745</v>
      </c>
      <c r="B16" s="18">
        <f>IF(Setup!$B$14="",DATE(2026,11,1),Setup!$B$14)+164</f>
        <v>46491</v>
      </c>
      <c r="C16" s="18">
        <f>IF(Setup!$B$14="",DATE(2026,11,1),Setup!$B$14)+166</f>
        <v>46493</v>
      </c>
      <c r="D16" s="21">
        <f t="shared" si="0"/>
        <v>3</v>
      </c>
      <c r="E16" s="10" t="s">
        <v>466</v>
      </c>
      <c r="F16" s="17">
        <v>0</v>
      </c>
      <c r="G16" s="21">
        <f t="shared" ca="1" si="1"/>
        <v>185</v>
      </c>
    </row>
    <row r="17" spans="1:7">
      <c r="A17" s="10"/>
      <c r="B17" s="18"/>
      <c r="C17" s="18"/>
      <c r="D17" s="21" t="str">
        <f t="shared" si="0"/>
        <v/>
      </c>
      <c r="E17" s="10"/>
      <c r="F17" s="17"/>
      <c r="G17" s="21" t="str">
        <f t="shared" ca="1" si="1"/>
        <v/>
      </c>
    </row>
    <row r="18" spans="1:7">
      <c r="A18" s="10"/>
      <c r="B18" s="18"/>
      <c r="C18" s="18"/>
      <c r="D18" s="21" t="str">
        <f t="shared" si="0"/>
        <v/>
      </c>
      <c r="E18" s="10"/>
      <c r="F18" s="17"/>
      <c r="G18" s="21" t="str">
        <f t="shared" ca="1" si="1"/>
        <v/>
      </c>
    </row>
    <row r="19" spans="1:7">
      <c r="A19" s="10"/>
      <c r="B19" s="18"/>
      <c r="C19" s="18"/>
      <c r="D19" s="21" t="str">
        <f t="shared" si="0"/>
        <v/>
      </c>
      <c r="E19" s="10"/>
      <c r="F19" s="17"/>
      <c r="G19" s="21" t="str">
        <f t="shared" ca="1" si="1"/>
        <v/>
      </c>
    </row>
    <row r="20" spans="1:7">
      <c r="A20" s="10"/>
      <c r="B20" s="18"/>
      <c r="C20" s="18"/>
      <c r="D20" s="21" t="str">
        <f t="shared" si="0"/>
        <v/>
      </c>
      <c r="E20" s="10"/>
      <c r="F20" s="17"/>
      <c r="G20" s="21" t="str">
        <f t="shared" ca="1" si="1"/>
        <v/>
      </c>
    </row>
    <row r="21" spans="1:7">
      <c r="A21" s="10"/>
      <c r="B21" s="18"/>
      <c r="C21" s="18"/>
      <c r="D21" s="21" t="str">
        <f t="shared" si="0"/>
        <v/>
      </c>
      <c r="E21" s="10"/>
      <c r="F21" s="17"/>
      <c r="G21" s="21" t="str">
        <f t="shared" ca="1" si="1"/>
        <v/>
      </c>
    </row>
    <row r="22" spans="1:7">
      <c r="A22" s="10"/>
      <c r="B22" s="18"/>
      <c r="C22" s="18"/>
      <c r="D22" s="21" t="str">
        <f t="shared" si="0"/>
        <v/>
      </c>
      <c r="E22" s="10"/>
      <c r="F22" s="17"/>
      <c r="G22" s="21" t="str">
        <f t="shared" ca="1" si="1"/>
        <v/>
      </c>
    </row>
    <row r="23" spans="1:7">
      <c r="A23" s="10"/>
      <c r="B23" s="18"/>
      <c r="C23" s="18"/>
      <c r="D23" s="21" t="str">
        <f t="shared" si="0"/>
        <v/>
      </c>
      <c r="E23" s="10"/>
      <c r="F23" s="17"/>
      <c r="G23" s="21" t="str">
        <f t="shared" ca="1" si="1"/>
        <v/>
      </c>
    </row>
    <row r="24" spans="1:7">
      <c r="A24" s="10"/>
      <c r="B24" s="18"/>
      <c r="C24" s="18"/>
      <c r="D24" s="21" t="str">
        <f t="shared" si="0"/>
        <v/>
      </c>
      <c r="E24" s="10"/>
      <c r="F24" s="17"/>
      <c r="G24" s="21" t="str">
        <f t="shared" ca="1" si="1"/>
        <v/>
      </c>
    </row>
    <row r="25" spans="1:7">
      <c r="A25" s="10"/>
      <c r="B25" s="18"/>
      <c r="C25" s="18"/>
      <c r="D25" s="21" t="str">
        <f t="shared" si="0"/>
        <v/>
      </c>
      <c r="E25" s="10"/>
      <c r="F25" s="17"/>
      <c r="G25" s="21" t="str">
        <f t="shared" ca="1" si="1"/>
        <v/>
      </c>
    </row>
    <row r="27" spans="1:7">
      <c r="A27" s="13" t="s">
        <v>746</v>
      </c>
    </row>
    <row r="28" spans="1:7">
      <c r="A28" s="13" t="s">
        <v>747</v>
      </c>
    </row>
  </sheetData>
  <sheetProtection sheet="1" formatCells="0" formatColumns="0" formatRows="0"/>
  <conditionalFormatting sqref="G6:G25">
    <cfRule type="expression" dxfId="0" priority="1">
      <formula>AND(ISNUMBER($G6),$G6&lt;0,$E6&lt;&gt;"Done")</formula>
    </cfRule>
  </conditionalFormatting>
  <dataValidations count="1">
    <dataValidation type="list" allowBlank="1" sqref="E6 E7 E8 E9 E10 E11 E12 E13 E14 E15 E16 E17 E18 E19 E20 E21 E22 E23 E24 E25" xr:uid="{00000000-0002-0000-1C00-000000000000}">
      <formula1>"Not started,In progress,Done,On hold"</formula1>
    </dataValidation>
  </dataValidation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2F5D50"/>
    <pageSetUpPr fitToPage="1"/>
  </sheetPr>
  <dimension ref="A1:C37"/>
  <sheetViews>
    <sheetView showGridLines="0" workbookViewId="0"/>
  </sheetViews>
  <sheetFormatPr defaultRowHeight="15"/>
  <cols>
    <col min="1" max="1" width="14" customWidth="1"/>
    <col min="2" max="2" width="42" customWidth="1"/>
    <col min="3" max="3" width="22" customWidth="1"/>
  </cols>
  <sheetData>
    <row r="1" spans="1:3" ht="19.5">
      <c r="A1" s="1" t="s">
        <v>748</v>
      </c>
    </row>
    <row r="2" spans="1:3">
      <c r="A2" s="2" t="s">
        <v>749</v>
      </c>
    </row>
    <row r="4" spans="1:3">
      <c r="A4" s="9" t="s">
        <v>750</v>
      </c>
      <c r="B4" s="10" t="s">
        <v>751</v>
      </c>
    </row>
    <row r="5" spans="1:3">
      <c r="A5" s="9" t="s">
        <v>752</v>
      </c>
      <c r="B5" s="6">
        <f>Setup!B6</f>
        <v>0</v>
      </c>
    </row>
    <row r="6" spans="1:3">
      <c r="A6" s="9" t="s">
        <v>655</v>
      </c>
      <c r="B6" s="6" t="str">
        <f>Setup!B5</f>
        <v>My Home Project</v>
      </c>
    </row>
    <row r="7" spans="1:3">
      <c r="A7" s="9" t="s">
        <v>656</v>
      </c>
      <c r="B7" s="6" t="str">
        <f>Setup!B7</f>
        <v>Chennai</v>
      </c>
    </row>
    <row r="8" spans="1:3">
      <c r="A8" s="9" t="s">
        <v>714</v>
      </c>
      <c r="B8" s="18">
        <f ca="1">TODAY()</f>
        <v>46308</v>
      </c>
    </row>
    <row r="10" spans="1:3" ht="33.950000000000003" customHeight="1">
      <c r="A10" s="5" t="s">
        <v>753</v>
      </c>
      <c r="B10" s="5" t="s">
        <v>168</v>
      </c>
      <c r="C10" s="5" t="s">
        <v>717</v>
      </c>
    </row>
    <row r="11" spans="1:3">
      <c r="A11" s="21">
        <v>1</v>
      </c>
      <c r="B11" s="6" t="str">
        <f>'Cost Estimate'!A6</f>
        <v>Site preparation &amp; foundation (excavation, clearing)</v>
      </c>
      <c r="C11" s="24">
        <f>'Cost Estimate'!C6</f>
        <v>0</v>
      </c>
    </row>
    <row r="12" spans="1:3">
      <c r="A12" s="21">
        <v>2</v>
      </c>
      <c r="B12" s="6" t="str">
        <f>'Cost Estimate'!A7</f>
        <v>Concrete &amp; RCC</v>
      </c>
      <c r="C12" s="24">
        <f>'Cost Estimate'!C7</f>
        <v>0</v>
      </c>
    </row>
    <row r="13" spans="1:3">
      <c r="A13" s="21">
        <v>3</v>
      </c>
      <c r="B13" s="6" t="str">
        <f>'Cost Estimate'!A8</f>
        <v>Steel reinforcement</v>
      </c>
      <c r="C13" s="24">
        <f>'Cost Estimate'!C8</f>
        <v>0</v>
      </c>
    </row>
    <row r="14" spans="1:3">
      <c r="A14" s="21">
        <v>4</v>
      </c>
      <c r="B14" s="6" t="str">
        <f>'Cost Estimate'!A9</f>
        <v>Brickwork &amp; masonry labour</v>
      </c>
      <c r="C14" s="24">
        <f>'Cost Estimate'!C9</f>
        <v>0</v>
      </c>
    </row>
    <row r="15" spans="1:3">
      <c r="A15" s="21">
        <v>5</v>
      </c>
      <c r="B15" s="6" t="str">
        <f>'Cost Estimate'!A10</f>
        <v>Plaster (walls and ceilings, materials and labour)</v>
      </c>
      <c r="C15" s="24">
        <f>'Cost Estimate'!C10</f>
        <v>0</v>
      </c>
    </row>
    <row r="16" spans="1:3">
      <c r="A16" s="21">
        <v>6</v>
      </c>
      <c r="B16" s="6" t="str">
        <f>'Cost Estimate'!A11</f>
        <v>Floor tiles (materials and laying labour)</v>
      </c>
      <c r="C16" s="24">
        <f>'Cost Estimate'!C11</f>
        <v>0</v>
      </c>
    </row>
    <row r="17" spans="1:3">
      <c r="A17" s="21">
        <v>7</v>
      </c>
      <c r="B17" s="6" t="str">
        <f>'Cost Estimate'!A12</f>
        <v>Interior paint (materials and labour)</v>
      </c>
      <c r="C17" s="24">
        <f>'Cost Estimate'!C12</f>
        <v>0</v>
      </c>
    </row>
    <row r="18" spans="1:3">
      <c r="A18" s="21">
        <v>8</v>
      </c>
      <c r="B18" s="6" t="str">
        <f>'Cost Estimate'!A13</f>
        <v>External paint (materials and labour)</v>
      </c>
      <c r="C18" s="24">
        <f>'Cost Estimate'!C13</f>
        <v>0</v>
      </c>
    </row>
    <row r="19" spans="1:3">
      <c r="A19" s="21">
        <v>9</v>
      </c>
      <c r="B19" s="6" t="str">
        <f>'Cost Estimate'!A14</f>
        <v>Doors</v>
      </c>
      <c r="C19" s="24">
        <f>'Cost Estimate'!C14</f>
        <v>0</v>
      </c>
    </row>
    <row r="20" spans="1:3">
      <c r="A20" s="21">
        <v>10</v>
      </c>
      <c r="B20" s="6" t="str">
        <f>'Cost Estimate'!A15</f>
        <v>Windows</v>
      </c>
      <c r="C20" s="24">
        <f>'Cost Estimate'!C15</f>
        <v>0</v>
      </c>
    </row>
    <row r="21" spans="1:3">
      <c r="A21" s="21">
        <v>11</v>
      </c>
      <c r="B21" s="6" t="str">
        <f>'Cost Estimate'!A16</f>
        <v>Plumbing fittings and pipes</v>
      </c>
      <c r="C21" s="24">
        <f>'Cost Estimate'!C16</f>
        <v>0</v>
      </c>
    </row>
    <row r="22" spans="1:3">
      <c r="A22" s="21">
        <v>12</v>
      </c>
      <c r="B22" s="6" t="str">
        <f>'Cost Estimate'!A17</f>
        <v>Electrical wiring and fittings</v>
      </c>
      <c r="C22" s="24">
        <f>'Cost Estimate'!C17</f>
        <v>0</v>
      </c>
    </row>
    <row r="23" spans="1:3">
      <c r="A23" s="21">
        <v>13</v>
      </c>
      <c r="B23" s="6" t="str">
        <f>'Cost Estimate'!A18</f>
        <v>Kitchen counter and cabinets</v>
      </c>
      <c r="C23" s="24">
        <f>'Cost Estimate'!C18</f>
        <v>0</v>
      </c>
    </row>
    <row r="24" spans="1:3">
      <c r="A24" s="21">
        <v>14</v>
      </c>
      <c r="B24" s="6" t="str">
        <f>'Cost Estimate'!A19</f>
        <v>Sanitaryware and taps</v>
      </c>
      <c r="C24" s="24">
        <f>'Cost Estimate'!C19</f>
        <v>0</v>
      </c>
    </row>
    <row r="25" spans="1:3">
      <c r="A25" s="21">
        <v>15</v>
      </c>
      <c r="B25" s="6" t="str">
        <f>'Cost Estimate'!A20</f>
        <v>Waterproofing (bathrooms, kitchen, wet areas)</v>
      </c>
      <c r="C25" s="24">
        <f>'Cost Estimate'!C20</f>
        <v>0</v>
      </c>
    </row>
    <row r="26" spans="1:3">
      <c r="A26" s="21">
        <v>16</v>
      </c>
      <c r="B26" s="6" t="str">
        <f>'Cost Estimate'!A21</f>
        <v>Roof waterproofing (flat roof)</v>
      </c>
      <c r="C26" s="24">
        <f>'Cost Estimate'!C21</f>
        <v>0</v>
      </c>
    </row>
    <row r="27" spans="1:3">
      <c r="A27" s="21">
        <v>17</v>
      </c>
      <c r="B27" s="6" t="str">
        <f>'Cost Estimate'!A22</f>
        <v>General labour (not in calculators)</v>
      </c>
      <c r="C27" s="24">
        <f>'Cost Estimate'!C22</f>
        <v>0</v>
      </c>
    </row>
    <row r="28" spans="1:3">
      <c r="A28" s="21">
        <v>18</v>
      </c>
      <c r="B28" s="6" t="str">
        <f>'Cost Estimate'!A23</f>
        <v>Transport and unloading</v>
      </c>
      <c r="C28" s="24">
        <f>'Cost Estimate'!C23</f>
        <v>0</v>
      </c>
    </row>
    <row r="29" spans="1:3">
      <c r="A29" s="21">
        <v>19</v>
      </c>
      <c r="B29" s="6" t="str">
        <f>'Cost Estimate'!A24</f>
        <v>Approvals and fees (total from Permits tab)</v>
      </c>
      <c r="C29" s="24">
        <f>'Cost Estimate'!C24</f>
        <v>0</v>
      </c>
    </row>
    <row r="30" spans="1:3">
      <c r="A30" s="21">
        <v>20</v>
      </c>
      <c r="B30" s="6" t="str">
        <f>'Cost Estimate'!A25</f>
        <v>Other</v>
      </c>
      <c r="C30" s="24">
        <f>'Cost Estimate'!C25</f>
        <v>0</v>
      </c>
    </row>
    <row r="31" spans="1:3">
      <c r="B31" s="9" t="s">
        <v>754</v>
      </c>
      <c r="C31" s="24">
        <f>SUM(C11:C30)</f>
        <v>0</v>
      </c>
    </row>
    <row r="32" spans="1:3">
      <c r="B32" s="13" t="s">
        <v>361</v>
      </c>
      <c r="C32" s="24">
        <f>'Cost Estimate'!C27</f>
        <v>0</v>
      </c>
    </row>
    <row r="33" spans="1:3">
      <c r="B33" s="13" t="s">
        <v>755</v>
      </c>
      <c r="C33" s="24">
        <f>'Cost Estimate'!C28</f>
        <v>0</v>
      </c>
    </row>
    <row r="34" spans="1:3">
      <c r="B34" s="9" t="s">
        <v>163</v>
      </c>
      <c r="C34" s="24">
        <f>C31+C32+C33</f>
        <v>0</v>
      </c>
    </row>
    <row r="36" spans="1:3">
      <c r="A36" s="9" t="s">
        <v>756</v>
      </c>
      <c r="B36" s="13" t="s">
        <v>757</v>
      </c>
      <c r="C36" s="22">
        <v>30</v>
      </c>
    </row>
    <row r="37" spans="1:3">
      <c r="B37" s="38" t="s">
        <v>758</v>
      </c>
      <c r="C37" s="39"/>
    </row>
  </sheetData>
  <sheetProtection sheet="1" formatCells="0" formatColumns="0" formatRows="0"/>
  <mergeCells count="1">
    <mergeCell ref="B37:C37"/>
  </mergeCells>
  <pageMargins left="0.75" right="0.75" top="1" bottom="1" header="0.5" footer="0.5"/>
  <pageSetup fitToHeight="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2F5D50"/>
  </sheetPr>
  <dimension ref="A1:G80"/>
  <sheetViews>
    <sheetView showGridLines="0" workbookViewId="0">
      <pane ySplit="5" topLeftCell="A6" activePane="bottomLeft" state="frozen"/>
      <selection pane="bottomLeft"/>
    </sheetView>
  </sheetViews>
  <sheetFormatPr defaultRowHeight="15"/>
  <cols>
    <col min="1" max="1" width="26" customWidth="1"/>
    <col min="2" max="3" width="16" customWidth="1"/>
    <col min="4" max="4" width="24" customWidth="1"/>
    <col min="5" max="5" width="14" customWidth="1"/>
    <col min="6" max="6" width="16" customWidth="1"/>
    <col min="7" max="7" width="30" customWidth="1"/>
  </cols>
  <sheetData>
    <row r="1" spans="1:7" ht="19.5">
      <c r="A1" s="1" t="s">
        <v>759</v>
      </c>
    </row>
    <row r="2" spans="1:7">
      <c r="A2" s="2" t="s">
        <v>760</v>
      </c>
    </row>
    <row r="5" spans="1:7" ht="33.950000000000003" customHeight="1">
      <c r="A5" s="5" t="s">
        <v>168</v>
      </c>
      <c r="B5" s="5" t="s">
        <v>420</v>
      </c>
      <c r="C5" s="5" t="s">
        <v>106</v>
      </c>
      <c r="D5" s="5" t="s">
        <v>425</v>
      </c>
      <c r="E5" s="5" t="s">
        <v>761</v>
      </c>
      <c r="F5" s="5" t="s">
        <v>530</v>
      </c>
      <c r="G5" s="5" t="s">
        <v>190</v>
      </c>
    </row>
    <row r="6" spans="1:7">
      <c r="A6" s="10"/>
      <c r="B6" s="10"/>
      <c r="C6" s="10"/>
      <c r="D6" s="10"/>
      <c r="E6" s="12"/>
      <c r="F6" s="18"/>
      <c r="G6" s="10"/>
    </row>
    <row r="7" spans="1:7">
      <c r="A7" s="10"/>
      <c r="B7" s="10"/>
      <c r="C7" s="10"/>
      <c r="D7" s="10"/>
      <c r="E7" s="12"/>
      <c r="F7" s="18"/>
      <c r="G7" s="10"/>
    </row>
    <row r="8" spans="1:7">
      <c r="A8" s="10"/>
      <c r="B8" s="10"/>
      <c r="C8" s="10"/>
      <c r="D8" s="10"/>
      <c r="E8" s="12"/>
      <c r="F8" s="18"/>
      <c r="G8" s="10"/>
    </row>
    <row r="9" spans="1:7">
      <c r="A9" s="10"/>
      <c r="B9" s="10"/>
      <c r="C9" s="10"/>
      <c r="D9" s="10"/>
      <c r="E9" s="12"/>
      <c r="F9" s="18"/>
      <c r="G9" s="10"/>
    </row>
    <row r="10" spans="1:7">
      <c r="A10" s="10"/>
      <c r="B10" s="10"/>
      <c r="C10" s="10"/>
      <c r="D10" s="10"/>
      <c r="E10" s="12"/>
      <c r="F10" s="18"/>
      <c r="G10" s="10"/>
    </row>
    <row r="11" spans="1:7">
      <c r="A11" s="10"/>
      <c r="B11" s="10"/>
      <c r="C11" s="10"/>
      <c r="D11" s="10"/>
      <c r="E11" s="12"/>
      <c r="F11" s="18"/>
      <c r="G11" s="10"/>
    </row>
    <row r="12" spans="1:7">
      <c r="A12" s="10"/>
      <c r="B12" s="10"/>
      <c r="C12" s="10"/>
      <c r="D12" s="10"/>
      <c r="E12" s="12"/>
      <c r="F12" s="18"/>
      <c r="G12" s="10"/>
    </row>
    <row r="13" spans="1:7">
      <c r="A13" s="10"/>
      <c r="B13" s="10"/>
      <c r="C13" s="10"/>
      <c r="D13" s="10"/>
      <c r="E13" s="12"/>
      <c r="F13" s="18"/>
      <c r="G13" s="10"/>
    </row>
    <row r="14" spans="1:7">
      <c r="A14" s="10"/>
      <c r="B14" s="10"/>
      <c r="C14" s="10"/>
      <c r="D14" s="10"/>
      <c r="E14" s="12"/>
      <c r="F14" s="18"/>
      <c r="G14" s="10"/>
    </row>
    <row r="15" spans="1:7">
      <c r="A15" s="10"/>
      <c r="B15" s="10"/>
      <c r="C15" s="10"/>
      <c r="D15" s="10"/>
      <c r="E15" s="12"/>
      <c r="F15" s="18"/>
      <c r="G15" s="10"/>
    </row>
    <row r="16" spans="1:7">
      <c r="A16" s="10"/>
      <c r="B16" s="10"/>
      <c r="C16" s="10"/>
      <c r="D16" s="10"/>
      <c r="E16" s="12"/>
      <c r="F16" s="18"/>
      <c r="G16" s="10"/>
    </row>
    <row r="17" spans="1:7">
      <c r="A17" s="10"/>
      <c r="B17" s="10"/>
      <c r="C17" s="10"/>
      <c r="D17" s="10"/>
      <c r="E17" s="12"/>
      <c r="F17" s="18"/>
      <c r="G17" s="10"/>
    </row>
    <row r="18" spans="1:7">
      <c r="A18" s="10"/>
      <c r="B18" s="10"/>
      <c r="C18" s="10"/>
      <c r="D18" s="10"/>
      <c r="E18" s="12"/>
      <c r="F18" s="18"/>
      <c r="G18" s="10"/>
    </row>
    <row r="19" spans="1:7">
      <c r="A19" s="10"/>
      <c r="B19" s="10"/>
      <c r="C19" s="10"/>
      <c r="D19" s="10"/>
      <c r="E19" s="12"/>
      <c r="F19" s="18"/>
      <c r="G19" s="10"/>
    </row>
    <row r="20" spans="1:7">
      <c r="A20" s="10"/>
      <c r="B20" s="10"/>
      <c r="C20" s="10"/>
      <c r="D20" s="10"/>
      <c r="E20" s="12"/>
      <c r="F20" s="18"/>
      <c r="G20" s="10"/>
    </row>
    <row r="21" spans="1:7">
      <c r="A21" s="10"/>
      <c r="B21" s="10"/>
      <c r="C21" s="10"/>
      <c r="D21" s="10"/>
      <c r="E21" s="12"/>
      <c r="F21" s="18"/>
      <c r="G21" s="10"/>
    </row>
    <row r="22" spans="1:7">
      <c r="A22" s="10"/>
      <c r="B22" s="10"/>
      <c r="C22" s="10"/>
      <c r="D22" s="10"/>
      <c r="E22" s="12"/>
      <c r="F22" s="18"/>
      <c r="G22" s="10"/>
    </row>
    <row r="23" spans="1:7">
      <c r="A23" s="10"/>
      <c r="B23" s="10"/>
      <c r="C23" s="10"/>
      <c r="D23" s="10"/>
      <c r="E23" s="12"/>
      <c r="F23" s="18"/>
      <c r="G23" s="10"/>
    </row>
    <row r="24" spans="1:7">
      <c r="A24" s="10"/>
      <c r="B24" s="10"/>
      <c r="C24" s="10"/>
      <c r="D24" s="10"/>
      <c r="E24" s="12"/>
      <c r="F24" s="18"/>
      <c r="G24" s="10"/>
    </row>
    <row r="25" spans="1:7">
      <c r="A25" s="10"/>
      <c r="B25" s="10"/>
      <c r="C25" s="10"/>
      <c r="D25" s="10"/>
      <c r="E25" s="12"/>
      <c r="F25" s="18"/>
      <c r="G25" s="10"/>
    </row>
    <row r="26" spans="1:7">
      <c r="A26" s="10"/>
      <c r="B26" s="10"/>
      <c r="C26" s="10"/>
      <c r="D26" s="10"/>
      <c r="E26" s="12"/>
      <c r="F26" s="18"/>
      <c r="G26" s="10"/>
    </row>
    <row r="27" spans="1:7">
      <c r="A27" s="10"/>
      <c r="B27" s="10"/>
      <c r="C27" s="10"/>
      <c r="D27" s="10"/>
      <c r="E27" s="12"/>
      <c r="F27" s="18"/>
      <c r="G27" s="10"/>
    </row>
    <row r="28" spans="1:7">
      <c r="A28" s="10"/>
      <c r="B28" s="10"/>
      <c r="C28" s="10"/>
      <c r="D28" s="10"/>
      <c r="E28" s="12"/>
      <c r="F28" s="18"/>
      <c r="G28" s="10"/>
    </row>
    <row r="29" spans="1:7">
      <c r="A29" s="10"/>
      <c r="B29" s="10"/>
      <c r="C29" s="10"/>
      <c r="D29" s="10"/>
      <c r="E29" s="12"/>
      <c r="F29" s="18"/>
      <c r="G29" s="10"/>
    </row>
    <row r="30" spans="1:7">
      <c r="A30" s="10"/>
      <c r="B30" s="10"/>
      <c r="C30" s="10"/>
      <c r="D30" s="10"/>
      <c r="E30" s="12"/>
      <c r="F30" s="18"/>
      <c r="G30" s="10"/>
    </row>
    <row r="31" spans="1:7">
      <c r="A31" s="10"/>
      <c r="B31" s="10"/>
      <c r="C31" s="10"/>
      <c r="D31" s="10"/>
      <c r="E31" s="12"/>
      <c r="F31" s="18"/>
      <c r="G31" s="10"/>
    </row>
    <row r="32" spans="1:7">
      <c r="A32" s="10"/>
      <c r="B32" s="10"/>
      <c r="C32" s="10"/>
      <c r="D32" s="10"/>
      <c r="E32" s="12"/>
      <c r="F32" s="18"/>
      <c r="G32" s="10"/>
    </row>
    <row r="33" spans="1:7">
      <c r="A33" s="10"/>
      <c r="B33" s="10"/>
      <c r="C33" s="10"/>
      <c r="D33" s="10"/>
      <c r="E33" s="12"/>
      <c r="F33" s="18"/>
      <c r="G33" s="10"/>
    </row>
    <row r="34" spans="1:7">
      <c r="A34" s="10"/>
      <c r="B34" s="10"/>
      <c r="C34" s="10"/>
      <c r="D34" s="10"/>
      <c r="E34" s="12"/>
      <c r="F34" s="18"/>
      <c r="G34" s="10"/>
    </row>
    <row r="35" spans="1:7">
      <c r="A35" s="10"/>
      <c r="B35" s="10"/>
      <c r="C35" s="10"/>
      <c r="D35" s="10"/>
      <c r="E35" s="12"/>
      <c r="F35" s="18"/>
      <c r="G35" s="10"/>
    </row>
    <row r="36" spans="1:7">
      <c r="A36" s="10"/>
      <c r="B36" s="10"/>
      <c r="C36" s="10"/>
      <c r="D36" s="10"/>
      <c r="E36" s="12"/>
      <c r="F36" s="18"/>
      <c r="G36" s="10"/>
    </row>
    <row r="37" spans="1:7">
      <c r="A37" s="10"/>
      <c r="B37" s="10"/>
      <c r="C37" s="10"/>
      <c r="D37" s="10"/>
      <c r="E37" s="12"/>
      <c r="F37" s="18"/>
      <c r="G37" s="10"/>
    </row>
    <row r="38" spans="1:7">
      <c r="A38" s="10"/>
      <c r="B38" s="10"/>
      <c r="C38" s="10"/>
      <c r="D38" s="10"/>
      <c r="E38" s="12"/>
      <c r="F38" s="18"/>
      <c r="G38" s="10"/>
    </row>
    <row r="39" spans="1:7">
      <c r="A39" s="10"/>
      <c r="B39" s="10"/>
      <c r="C39" s="10"/>
      <c r="D39" s="10"/>
      <c r="E39" s="12"/>
      <c r="F39" s="18"/>
      <c r="G39" s="10"/>
    </row>
    <row r="40" spans="1:7">
      <c r="A40" s="10"/>
      <c r="B40" s="10"/>
      <c r="C40" s="10"/>
      <c r="D40" s="10"/>
      <c r="E40" s="12"/>
      <c r="F40" s="18"/>
      <c r="G40" s="10"/>
    </row>
    <row r="41" spans="1:7">
      <c r="A41" s="10"/>
      <c r="B41" s="10"/>
      <c r="C41" s="10"/>
      <c r="D41" s="10"/>
      <c r="E41" s="12"/>
      <c r="F41" s="18"/>
      <c r="G41" s="10"/>
    </row>
    <row r="42" spans="1:7">
      <c r="A42" s="10"/>
      <c r="B42" s="10"/>
      <c r="C42" s="10"/>
      <c r="D42" s="10"/>
      <c r="E42" s="12"/>
      <c r="F42" s="18"/>
      <c r="G42" s="10"/>
    </row>
    <row r="43" spans="1:7">
      <c r="A43" s="10"/>
      <c r="B43" s="10"/>
      <c r="C43" s="10"/>
      <c r="D43" s="10"/>
      <c r="E43" s="12"/>
      <c r="F43" s="18"/>
      <c r="G43" s="10"/>
    </row>
    <row r="44" spans="1:7">
      <c r="A44" s="10"/>
      <c r="B44" s="10"/>
      <c r="C44" s="10"/>
      <c r="D44" s="10"/>
      <c r="E44" s="12"/>
      <c r="F44" s="18"/>
      <c r="G44" s="10"/>
    </row>
    <row r="45" spans="1:7">
      <c r="A45" s="10"/>
      <c r="B45" s="10"/>
      <c r="C45" s="10"/>
      <c r="D45" s="10"/>
      <c r="E45" s="12"/>
      <c r="F45" s="18"/>
      <c r="G45" s="10"/>
    </row>
    <row r="46" spans="1:7">
      <c r="A46" s="10"/>
      <c r="B46" s="10"/>
      <c r="C46" s="10"/>
      <c r="D46" s="10"/>
      <c r="E46" s="12"/>
      <c r="F46" s="18"/>
      <c r="G46" s="10"/>
    </row>
    <row r="47" spans="1:7">
      <c r="A47" s="10"/>
      <c r="B47" s="10"/>
      <c r="C47" s="10"/>
      <c r="D47" s="10"/>
      <c r="E47" s="12"/>
      <c r="F47" s="18"/>
      <c r="G47" s="10"/>
    </row>
    <row r="48" spans="1:7">
      <c r="A48" s="10"/>
      <c r="B48" s="10"/>
      <c r="C48" s="10"/>
      <c r="D48" s="10"/>
      <c r="E48" s="12"/>
      <c r="F48" s="18"/>
      <c r="G48" s="10"/>
    </row>
    <row r="49" spans="1:7">
      <c r="A49" s="10"/>
      <c r="B49" s="10"/>
      <c r="C49" s="10"/>
      <c r="D49" s="10"/>
      <c r="E49" s="12"/>
      <c r="F49" s="18"/>
      <c r="G49" s="10"/>
    </row>
    <row r="50" spans="1:7">
      <c r="A50" s="10"/>
      <c r="B50" s="10"/>
      <c r="C50" s="10"/>
      <c r="D50" s="10"/>
      <c r="E50" s="12"/>
      <c r="F50" s="18"/>
      <c r="G50" s="10"/>
    </row>
    <row r="51" spans="1:7">
      <c r="A51" s="10"/>
      <c r="B51" s="10"/>
      <c r="C51" s="10"/>
      <c r="D51" s="10"/>
      <c r="E51" s="12"/>
      <c r="F51" s="18"/>
      <c r="G51" s="10"/>
    </row>
    <row r="52" spans="1:7">
      <c r="A52" s="10"/>
      <c r="B52" s="10"/>
      <c r="C52" s="10"/>
      <c r="D52" s="10"/>
      <c r="E52" s="12"/>
      <c r="F52" s="18"/>
      <c r="G52" s="10"/>
    </row>
    <row r="53" spans="1:7">
      <c r="A53" s="10"/>
      <c r="B53" s="10"/>
      <c r="C53" s="10"/>
      <c r="D53" s="10"/>
      <c r="E53" s="12"/>
      <c r="F53" s="18"/>
      <c r="G53" s="10"/>
    </row>
    <row r="54" spans="1:7">
      <c r="A54" s="10"/>
      <c r="B54" s="10"/>
      <c r="C54" s="10"/>
      <c r="D54" s="10"/>
      <c r="E54" s="12"/>
      <c r="F54" s="18"/>
      <c r="G54" s="10"/>
    </row>
    <row r="55" spans="1:7">
      <c r="A55" s="10"/>
      <c r="B55" s="10"/>
      <c r="C55" s="10"/>
      <c r="D55" s="10"/>
      <c r="E55" s="12"/>
      <c r="F55" s="18"/>
      <c r="G55" s="10"/>
    </row>
    <row r="56" spans="1:7">
      <c r="A56" s="10"/>
      <c r="B56" s="10"/>
      <c r="C56" s="10"/>
      <c r="D56" s="10"/>
      <c r="E56" s="12"/>
      <c r="F56" s="18"/>
      <c r="G56" s="10"/>
    </row>
    <row r="57" spans="1:7">
      <c r="A57" s="10"/>
      <c r="B57" s="10"/>
      <c r="C57" s="10"/>
      <c r="D57" s="10"/>
      <c r="E57" s="12"/>
      <c r="F57" s="18"/>
      <c r="G57" s="10"/>
    </row>
    <row r="58" spans="1:7">
      <c r="A58" s="10"/>
      <c r="B58" s="10"/>
      <c r="C58" s="10"/>
      <c r="D58" s="10"/>
      <c r="E58" s="12"/>
      <c r="F58" s="18"/>
      <c r="G58" s="10"/>
    </row>
    <row r="59" spans="1:7">
      <c r="A59" s="10"/>
      <c r="B59" s="10"/>
      <c r="C59" s="10"/>
      <c r="D59" s="10"/>
      <c r="E59" s="12"/>
      <c r="F59" s="18"/>
      <c r="G59" s="10"/>
    </row>
    <row r="60" spans="1:7">
      <c r="A60" s="10"/>
      <c r="B60" s="10"/>
      <c r="C60" s="10"/>
      <c r="D60" s="10"/>
      <c r="E60" s="12"/>
      <c r="F60" s="18"/>
      <c r="G60" s="10"/>
    </row>
    <row r="61" spans="1:7">
      <c r="A61" s="10"/>
      <c r="B61" s="10"/>
      <c r="C61" s="10"/>
      <c r="D61" s="10"/>
      <c r="E61" s="12"/>
      <c r="F61" s="18"/>
      <c r="G61" s="10"/>
    </row>
    <row r="62" spans="1:7">
      <c r="A62" s="10"/>
      <c r="B62" s="10"/>
      <c r="C62" s="10"/>
      <c r="D62" s="10"/>
      <c r="E62" s="12"/>
      <c r="F62" s="18"/>
      <c r="G62" s="10"/>
    </row>
    <row r="63" spans="1:7">
      <c r="A63" s="10"/>
      <c r="B63" s="10"/>
      <c r="C63" s="10"/>
      <c r="D63" s="10"/>
      <c r="E63" s="12"/>
      <c r="F63" s="18"/>
      <c r="G63" s="10"/>
    </row>
    <row r="64" spans="1:7">
      <c r="A64" s="10"/>
      <c r="B64" s="10"/>
      <c r="C64" s="10"/>
      <c r="D64" s="10"/>
      <c r="E64" s="12"/>
      <c r="F64" s="18"/>
      <c r="G64" s="10"/>
    </row>
    <row r="65" spans="1:7">
      <c r="A65" s="10"/>
      <c r="B65" s="10"/>
      <c r="C65" s="10"/>
      <c r="D65" s="10"/>
      <c r="E65" s="12"/>
      <c r="F65" s="18"/>
      <c r="G65" s="10"/>
    </row>
    <row r="66" spans="1:7">
      <c r="A66" s="10"/>
      <c r="B66" s="10"/>
      <c r="C66" s="10"/>
      <c r="D66" s="10"/>
      <c r="E66" s="12"/>
      <c r="F66" s="18"/>
      <c r="G66" s="10"/>
    </row>
    <row r="67" spans="1:7">
      <c r="A67" s="10"/>
      <c r="B67" s="10"/>
      <c r="C67" s="10"/>
      <c r="D67" s="10"/>
      <c r="E67" s="12"/>
      <c r="F67" s="18"/>
      <c r="G67" s="10"/>
    </row>
    <row r="68" spans="1:7">
      <c r="A68" s="10"/>
      <c r="B68" s="10"/>
      <c r="C68" s="10"/>
      <c r="D68" s="10"/>
      <c r="E68" s="12"/>
      <c r="F68" s="18"/>
      <c r="G68" s="10"/>
    </row>
    <row r="69" spans="1:7">
      <c r="A69" s="10"/>
      <c r="B69" s="10"/>
      <c r="C69" s="10"/>
      <c r="D69" s="10"/>
      <c r="E69" s="12"/>
      <c r="F69" s="18"/>
      <c r="G69" s="10"/>
    </row>
    <row r="70" spans="1:7">
      <c r="A70" s="10"/>
      <c r="B70" s="10"/>
      <c r="C70" s="10"/>
      <c r="D70" s="10"/>
      <c r="E70" s="12"/>
      <c r="F70" s="18"/>
      <c r="G70" s="10"/>
    </row>
    <row r="71" spans="1:7">
      <c r="A71" s="10"/>
      <c r="B71" s="10"/>
      <c r="C71" s="10"/>
      <c r="D71" s="10"/>
      <c r="E71" s="12"/>
      <c r="F71" s="18"/>
      <c r="G71" s="10"/>
    </row>
    <row r="72" spans="1:7">
      <c r="A72" s="10"/>
      <c r="B72" s="10"/>
      <c r="C72" s="10"/>
      <c r="D72" s="10"/>
      <c r="E72" s="12"/>
      <c r="F72" s="18"/>
      <c r="G72" s="10"/>
    </row>
    <row r="73" spans="1:7">
      <c r="A73" s="10"/>
      <c r="B73" s="10"/>
      <c r="C73" s="10"/>
      <c r="D73" s="10"/>
      <c r="E73" s="12"/>
      <c r="F73" s="18"/>
      <c r="G73" s="10"/>
    </row>
    <row r="74" spans="1:7">
      <c r="A74" s="10"/>
      <c r="B74" s="10"/>
      <c r="C74" s="10"/>
      <c r="D74" s="10"/>
      <c r="E74" s="12"/>
      <c r="F74" s="18"/>
      <c r="G74" s="10"/>
    </row>
    <row r="75" spans="1:7">
      <c r="A75" s="10"/>
      <c r="B75" s="10"/>
      <c r="C75" s="10"/>
      <c r="D75" s="10"/>
      <c r="E75" s="12"/>
      <c r="F75" s="18"/>
      <c r="G75" s="10"/>
    </row>
    <row r="76" spans="1:7">
      <c r="A76" s="10"/>
      <c r="B76" s="10"/>
      <c r="C76" s="10"/>
      <c r="D76" s="10"/>
      <c r="E76" s="12"/>
      <c r="F76" s="18"/>
      <c r="G76" s="10"/>
    </row>
    <row r="77" spans="1:7">
      <c r="A77" s="10"/>
      <c r="B77" s="10"/>
      <c r="C77" s="10"/>
      <c r="D77" s="10"/>
      <c r="E77" s="12"/>
      <c r="F77" s="18"/>
      <c r="G77" s="10"/>
    </row>
    <row r="78" spans="1:7">
      <c r="A78" s="10"/>
      <c r="B78" s="10"/>
      <c r="C78" s="10"/>
      <c r="D78" s="10"/>
      <c r="E78" s="12"/>
      <c r="F78" s="18"/>
      <c r="G78" s="10"/>
    </row>
    <row r="79" spans="1:7">
      <c r="A79" s="10"/>
      <c r="B79" s="10"/>
      <c r="C79" s="10"/>
      <c r="D79" s="10"/>
      <c r="E79" s="12"/>
      <c r="F79" s="18"/>
      <c r="G79" s="10"/>
    </row>
    <row r="80" spans="1:7">
      <c r="A80" s="10"/>
      <c r="B80" s="10"/>
      <c r="C80" s="10"/>
      <c r="D80" s="10"/>
      <c r="E80" s="12"/>
      <c r="F80" s="18"/>
      <c r="G80" s="10"/>
    </row>
  </sheetData>
  <sheetProtection sheet="1" formatCells="0" formatColumns="0" formatRows="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vt:i4>
      </vt:variant>
    </vt:vector>
  </HeadingPairs>
  <TitlesOfParts>
    <vt:vector size="32" baseType="lpstr">
      <vt:lpstr>Start Here</vt:lpstr>
      <vt:lpstr>Quick Start</vt:lpstr>
      <vt:lpstr>Setup</vt:lpstr>
      <vt:lpstr>Room Area</vt:lpstr>
      <vt:lpstr>Earthwork</vt:lpstr>
      <vt:lpstr>Paint &amp; Tiles</vt:lpstr>
      <vt:lpstr>Exterior &amp; Roof</vt:lpstr>
      <vt:lpstr>Concrete</vt:lpstr>
      <vt:lpstr>Bricks &amp; Blocks</vt:lpstr>
      <vt:lpstr>Plaster</vt:lpstr>
      <vt:lpstr>Steel</vt:lpstr>
      <vt:lpstr>Services</vt:lpstr>
      <vt:lpstr>Cost Estimate</vt:lpstr>
      <vt:lpstr>Room Costs</vt:lpstr>
      <vt:lpstr>Stage Budget</vt:lpstr>
      <vt:lpstr>Stage Checklist</vt:lpstr>
      <vt:lpstr>Order List</vt:lpstr>
      <vt:lpstr>Task Tracker</vt:lpstr>
      <vt:lpstr>Permits</vt:lpstr>
      <vt:lpstr>Rates</vt:lpstr>
      <vt:lpstr>Rate Quotes</vt:lpstr>
      <vt:lpstr>Assumptions</vt:lpstr>
      <vt:lpstr>Terms &amp; Disclaimer</vt:lpstr>
      <vt:lpstr>Dashboard</vt:lpstr>
      <vt:lpstr>Bill Check</vt:lpstr>
      <vt:lpstr>Projects</vt:lpstr>
      <vt:lpstr>Bids</vt:lpstr>
      <vt:lpstr>Payments</vt:lpstr>
      <vt:lpstr>Timeline</vt:lpstr>
      <vt:lpstr>Quotation</vt:lpstr>
      <vt:lpstr>Rate Library</vt:lpstr>
      <vt:lpstr>Quotation!Print_Area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Mohamed naseem</cp:lastModifiedBy>
  <dcterms:created xsi:type="dcterms:W3CDTF">2026-10-12T17:34:52Z</dcterms:created>
  <dcterms:modified xsi:type="dcterms:W3CDTF">2026-10-13T05:07:20Z</dcterms:modified>
</cp:coreProperties>
</file>