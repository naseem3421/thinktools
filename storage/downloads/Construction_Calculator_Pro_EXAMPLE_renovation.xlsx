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Quick Start" sheetId="2" state="visible" r:id="rId2"/>
    <sheet xmlns:r="http://schemas.openxmlformats.org/officeDocument/2006/relationships" name="Setup" sheetId="3" state="visible" r:id="rId3"/>
    <sheet xmlns:r="http://schemas.openxmlformats.org/officeDocument/2006/relationships" name="Room Area" sheetId="4" state="visible" r:id="rId4"/>
    <sheet xmlns:r="http://schemas.openxmlformats.org/officeDocument/2006/relationships" name="Earthwork" sheetId="5" state="visible" r:id="rId5"/>
    <sheet xmlns:r="http://schemas.openxmlformats.org/officeDocument/2006/relationships" name="Paint &amp; Tiles" sheetId="6" state="visible" r:id="rId6"/>
    <sheet xmlns:r="http://schemas.openxmlformats.org/officeDocument/2006/relationships" name="Exterior &amp; Roof" sheetId="7" state="visible" r:id="rId7"/>
    <sheet xmlns:r="http://schemas.openxmlformats.org/officeDocument/2006/relationships" name="Concrete" sheetId="8" state="visible" r:id="rId8"/>
    <sheet xmlns:r="http://schemas.openxmlformats.org/officeDocument/2006/relationships" name="Bricks &amp; Blocks" sheetId="9" state="visible" r:id="rId9"/>
    <sheet xmlns:r="http://schemas.openxmlformats.org/officeDocument/2006/relationships" name="Plaster" sheetId="10" state="visible" r:id="rId10"/>
    <sheet xmlns:r="http://schemas.openxmlformats.org/officeDocument/2006/relationships" name="Steel" sheetId="11" state="visible" r:id="rId11"/>
    <sheet xmlns:r="http://schemas.openxmlformats.org/officeDocument/2006/relationships" name="Services" sheetId="12" state="visible" r:id="rId12"/>
    <sheet xmlns:r="http://schemas.openxmlformats.org/officeDocument/2006/relationships" name="Cost Estimate" sheetId="13" state="visible" r:id="rId13"/>
    <sheet xmlns:r="http://schemas.openxmlformats.org/officeDocument/2006/relationships" name="Room Costs" sheetId="14" state="visible" r:id="rId14"/>
    <sheet xmlns:r="http://schemas.openxmlformats.org/officeDocument/2006/relationships" name="Stage Budget" sheetId="15" state="visible" r:id="rId15"/>
    <sheet xmlns:r="http://schemas.openxmlformats.org/officeDocument/2006/relationships" name="Stage Checklist" sheetId="16" state="visible" r:id="rId16"/>
    <sheet xmlns:r="http://schemas.openxmlformats.org/officeDocument/2006/relationships" name="Order List" sheetId="17" state="visible" r:id="rId17"/>
    <sheet xmlns:r="http://schemas.openxmlformats.org/officeDocument/2006/relationships" name="Task Tracker" sheetId="18" state="visible" r:id="rId18"/>
    <sheet xmlns:r="http://schemas.openxmlformats.org/officeDocument/2006/relationships" name="Permits" sheetId="19" state="visible" r:id="rId19"/>
    <sheet xmlns:r="http://schemas.openxmlformats.org/officeDocument/2006/relationships" name="Rates" sheetId="20" state="visible" r:id="rId20"/>
    <sheet xmlns:r="http://schemas.openxmlformats.org/officeDocument/2006/relationships" name="Rate Quotes" sheetId="21" state="visible" r:id="rId21"/>
    <sheet xmlns:r="http://schemas.openxmlformats.org/officeDocument/2006/relationships" name="Assumptions" sheetId="22" state="visible" r:id="rId22"/>
    <sheet xmlns:r="http://schemas.openxmlformats.org/officeDocument/2006/relationships" name="Terms &amp; Disclaimer" sheetId="23" state="visible" r:id="rId23"/>
    <sheet xmlns:r="http://schemas.openxmlformats.org/officeDocument/2006/relationships" name="Dashboard" sheetId="24" state="visible" r:id="rId24"/>
    <sheet xmlns:r="http://schemas.openxmlformats.org/officeDocument/2006/relationships" name="Bill Check" sheetId="25" state="visible" r:id="rId25"/>
    <sheet xmlns:r="http://schemas.openxmlformats.org/officeDocument/2006/relationships" name="Projects" sheetId="26" state="visible" r:id="rId26"/>
    <sheet xmlns:r="http://schemas.openxmlformats.org/officeDocument/2006/relationships" name="Bids" sheetId="27" state="visible" r:id="rId27"/>
    <sheet xmlns:r="http://schemas.openxmlformats.org/officeDocument/2006/relationships" name="Payments" sheetId="28" state="visible" r:id="rId28"/>
    <sheet xmlns:r="http://schemas.openxmlformats.org/officeDocument/2006/relationships" name="Timeline" sheetId="29" state="visible" r:id="rId29"/>
    <sheet xmlns:r="http://schemas.openxmlformats.org/officeDocument/2006/relationships" name="Quotation" sheetId="30" state="visible" r:id="rId30"/>
    <sheet xmlns:r="http://schemas.openxmlformats.org/officeDocument/2006/relationships" name="Rate Library" sheetId="31" state="visible" r:id="rId31"/>
  </sheets>
  <definedNames>
    <definedName name="_xlnm.Print_Area" localSheetId="29">'Quotation'!$A$1:$C$37</definedName>
  </definedNames>
  <calcPr calcId="124519" fullCalcOnLoad="1"/>
</workbook>
</file>

<file path=xl/styles.xml><?xml version="1.0" encoding="utf-8"?>
<styleSheet xmlns="http://schemas.openxmlformats.org/spreadsheetml/2006/main">
  <numFmts count="6">
    <numFmt numFmtId="164" formatCode="#,##0.0"/>
    <numFmt numFmtId="165" formatCode="[&gt;=10000000]&quot;₹&quot;##\,##\,##\,##0;[&gt;=100000]&quot;₹&quot;##\,##\,##0;&quot;₹&quot;##,##0"/>
    <numFmt numFmtId="166" formatCode="dd-mmm-yyyy"/>
    <numFmt numFmtId="167" formatCode="0.00000"/>
    <numFmt numFmtId="168" formatCode="0.0000"/>
    <numFmt numFmtId="169" formatCode="0.000"/>
  </numFmts>
  <fonts count="8">
    <font>
      <name val="Calibri"/>
      <family val="2"/>
      <color theme="1"/>
      <sz val="11"/>
      <scheme val="minor"/>
    </font>
    <font>
      <b val="1"/>
      <color rgb="002F5D50"/>
      <sz val="15"/>
    </font>
    <font>
      <i val="1"/>
      <color rgb="00666666"/>
    </font>
    <font>
      <b val="1"/>
      <color rgb="002F5D50"/>
    </font>
    <font>
      <b val="1"/>
      <color rgb="00FFFFFF"/>
    </font>
    <font/>
    <font>
      <b val="1"/>
    </font>
    <font>
      <b val="1"/>
      <color rgb="00C00000"/>
    </font>
  </fonts>
  <fills count="8">
    <fill>
      <patternFill/>
    </fill>
    <fill>
      <patternFill patternType="gray125"/>
    </fill>
    <fill>
      <patternFill patternType="solid">
        <fgColor rgb="00D9EAE4"/>
      </patternFill>
    </fill>
    <fill>
      <patternFill patternType="solid">
        <fgColor rgb="002F5D50"/>
      </patternFill>
    </fill>
    <fill>
      <patternFill patternType="solid">
        <fgColor rgb="00E2F0D9"/>
      </patternFill>
    </fill>
    <fill>
      <patternFill patternType="solid">
        <fgColor rgb="00FFF4CC"/>
      </patternFill>
    </fill>
    <fill>
      <patternFill patternType="solid">
        <fgColor rgb="00C6EFCE"/>
      </patternFill>
    </fill>
    <fill>
      <patternFill patternType="solid">
        <fgColor rgb="00F8CBAD"/>
      </patternFill>
    </fill>
  </fills>
  <borders count="5">
    <border>
      <left/>
      <right/>
      <top/>
      <bottom/>
      <diagonal/>
    </border>
    <border>
      <left style="thin">
        <color rgb="00C9D6D1"/>
      </left>
      <right style="thin">
        <color rgb="00C9D6D1"/>
      </right>
      <top style="thin">
        <color rgb="00C9D6D1"/>
      </top>
      <bottom style="thin">
        <color rgb="00C9D6D1"/>
      </bottom>
    </border>
    <border>
      <left/>
      <right/>
      <top style="thin">
        <color rgb="00C9D6D1"/>
      </top>
      <bottom/>
      <diagonal/>
    </border>
    <border>
      <left/>
      <right style="thin">
        <color rgb="00C9D6D1"/>
      </right>
      <top style="thin">
        <color rgb="00C9D6D1"/>
      </top>
      <bottom/>
      <diagonal/>
    </border>
    <border>
      <left/>
      <right style="thin">
        <color rgb="00C9D6D1"/>
      </right>
      <top style="thin">
        <color rgb="00C9D6D1"/>
      </top>
      <bottom style="thin">
        <color rgb="00C9D6D1"/>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0" fillId="4" borderId="1" pivotButton="0" quotePrefix="0" xfId="0"/>
    <xf numFmtId="0" fontId="0" fillId="4" borderId="1"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xf>
    <xf numFmtId="0" fontId="0" fillId="5" borderId="1" applyProtection="1" pivotButton="0" quotePrefix="0" xfId="0">
      <protection locked="0" hidden="0"/>
    </xf>
    <xf numFmtId="164" fontId="0" fillId="5" borderId="1" applyProtection="1" pivotButton="0" quotePrefix="0" xfId="0">
      <protection locked="0" hidden="0"/>
    </xf>
    <xf numFmtId="165" fontId="0" fillId="5" borderId="1" applyProtection="1" pivotButton="0" quotePrefix="0" xfId="0">
      <protection locked="0" hidden="0"/>
    </xf>
    <xf numFmtId="0" fontId="5" fillId="0" borderId="0" applyAlignment="1" pivotButton="0" quotePrefix="0" xfId="0">
      <alignment vertical="center"/>
    </xf>
    <xf numFmtId="0" fontId="0" fillId="4" borderId="1" applyProtection="1" pivotButton="0" quotePrefix="0" xfId="0">
      <protection locked="0" hidden="0"/>
    </xf>
    <xf numFmtId="164" fontId="0" fillId="4" borderId="1" applyProtection="1" pivotButton="0" quotePrefix="0" xfId="0">
      <protection locked="0" hidden="0"/>
    </xf>
    <xf numFmtId="165" fontId="0" fillId="4" borderId="1" applyProtection="1" pivotButton="0" quotePrefix="0" xfId="0">
      <protection locked="0" hidden="0"/>
    </xf>
    <xf numFmtId="9" fontId="0" fillId="5" borderId="1" applyProtection="1" pivotButton="0" quotePrefix="0" xfId="0">
      <protection locked="0" hidden="0"/>
    </xf>
    <xf numFmtId="166" fontId="0" fillId="5" borderId="1" applyProtection="1" pivotButton="0" quotePrefix="0" xfId="0">
      <protection locked="0" hidden="0"/>
    </xf>
    <xf numFmtId="167" fontId="0" fillId="4" borderId="1" pivotButton="0" quotePrefix="0" xfId="0"/>
    <xf numFmtId="168" fontId="0" fillId="4" borderId="1" pivotButton="0" quotePrefix="0" xfId="0"/>
    <xf numFmtId="3" fontId="0" fillId="4" borderId="1" pivotButton="0" quotePrefix="0" xfId="0"/>
    <xf numFmtId="3" fontId="0" fillId="5" borderId="1" applyProtection="1" pivotButton="0" quotePrefix="0" xfId="0">
      <protection locked="0" hidden="0"/>
    </xf>
    <xf numFmtId="164" fontId="0" fillId="4" borderId="1" pivotButton="0" quotePrefix="0" xfId="0"/>
    <xf numFmtId="165" fontId="0" fillId="4" borderId="1" pivotButton="0" quotePrefix="0" xfId="0"/>
    <xf numFmtId="9" fontId="0" fillId="4" borderId="1" pivotButton="0" quotePrefix="0" xfId="0"/>
    <xf numFmtId="2" fontId="0" fillId="5" borderId="1" applyProtection="1" pivotButton="0" quotePrefix="0" xfId="0">
      <protection locked="0" hidden="0"/>
    </xf>
    <xf numFmtId="2" fontId="0" fillId="4" borderId="1" pivotButton="0" quotePrefix="0" xfId="0"/>
    <xf numFmtId="169" fontId="0" fillId="4" borderId="1" pivotButton="0" quotePrefix="0" xfId="0"/>
    <xf numFmtId="3" fontId="0" fillId="4" borderId="1" applyProtection="1" pivotButton="0" quotePrefix="0" xfId="0">
      <protection locked="0" hidden="0"/>
    </xf>
    <xf numFmtId="0" fontId="6" fillId="0" borderId="0" applyAlignment="1" pivotButton="0" quotePrefix="0" xfId="0">
      <alignment vertical="center" wrapText="1"/>
    </xf>
    <xf numFmtId="0" fontId="5" fillId="7" borderId="0" applyAlignment="1" pivotButton="0" quotePrefix="0" xfId="0">
      <alignment vertical="center" wrapText="1"/>
    </xf>
    <xf numFmtId="1" fontId="0" fillId="5" borderId="1" applyProtection="1" pivotButton="0" quotePrefix="0" xfId="0">
      <protection locked="0" hidden="0"/>
    </xf>
    <xf numFmtId="0" fontId="6" fillId="7" borderId="0" applyAlignment="1" pivotButton="0" quotePrefix="0" xfId="0">
      <alignment vertical="center" wrapText="1"/>
    </xf>
    <xf numFmtId="0" fontId="5" fillId="0" borderId="0" applyAlignment="1" pivotButton="0" quotePrefix="0" xfId="0">
      <alignment wrapText="1"/>
    </xf>
    <xf numFmtId="0" fontId="6" fillId="6" borderId="0" applyAlignment="1" pivotButton="0" quotePrefix="0" xfId="0">
      <alignment vertical="center" wrapText="1"/>
    </xf>
    <xf numFmtId="0" fontId="5" fillId="5" borderId="1" applyAlignment="1" applyProtection="1" pivotButton="0" quotePrefix="0" xfId="0">
      <alignment vertical="center"/>
      <protection locked="0" hidden="0"/>
    </xf>
    <xf numFmtId="0" fontId="0" fillId="0" borderId="4" applyProtection="1" pivotButton="0" quotePrefix="0" xfId="0">
      <protection locked="0" hidden="0"/>
    </xf>
    <xf numFmtId="0" fontId="7" fillId="0" borderId="0" pivotButton="0" quotePrefix="0" xfId="0"/>
    <xf numFmtId="166" fontId="0" fillId="5" borderId="1" applyProtection="1" pivotButton="0" quotePrefix="0" xfId="0">
      <protection locked="0" hidden="0"/>
    </xf>
    <xf numFmtId="167" fontId="0" fillId="4" borderId="1" pivotButton="0" quotePrefix="0" xfId="0"/>
    <xf numFmtId="168" fontId="0" fillId="4" borderId="1" pivotButton="0" quotePrefix="0" xfId="0"/>
    <xf numFmtId="169" fontId="0" fillId="4" borderId="1" pivotButton="0" quotePrefix="0" xfId="0"/>
  </cellXfs>
  <cellStyles count="1">
    <cellStyle name="Normal" xfId="0" builtinId="0" hidden="0"/>
  </cellStyles>
  <dxfs count="2">
    <dxf>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Estimate vs target by stage (₹)</a:t>
            </a:r>
          </a:p>
        </rich>
      </tx>
    </title>
    <plotArea>
      <barChart>
        <barDir val="col"/>
        <grouping val="clustered"/>
        <ser>
          <idx val="0"/>
          <order val="0"/>
          <tx>
            <strRef>
              <f>'Stage Budget'!B5</f>
            </strRef>
          </tx>
          <spPr>
            <a:ln xmlns:a="http://schemas.openxmlformats.org/drawingml/2006/main">
              <a:prstDash val="solid"/>
            </a:ln>
          </spPr>
          <cat>
            <numRef>
              <f>'Stage Budget'!$A$6:$A$14</f>
            </numRef>
          </cat>
          <val>
            <numRef>
              <f>'Stage Budget'!$B$6:$B$14</f>
            </numRef>
          </val>
        </ser>
        <ser>
          <idx val="1"/>
          <order val="1"/>
          <tx>
            <strRef>
              <f>'Stage Budget'!E5</f>
            </strRef>
          </tx>
          <spPr>
            <a:ln xmlns:a="http://schemas.openxmlformats.org/drawingml/2006/main">
              <a:prstDash val="solid"/>
            </a:ln>
          </spPr>
          <cat>
            <numRef>
              <f>'Stage Budget'!$A$6:$A$14</f>
            </numRef>
          </cat>
          <val>
            <numRef>
              <f>'Stage Budget'!$E$6:$E$14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Tasks by status</a:t>
            </a:r>
          </a:p>
        </rich>
      </tx>
    </title>
    <plotArea>
      <barChart>
        <barDir val="bar"/>
        <grouping val="clustered"/>
        <ser>
          <idx val="0"/>
          <order val="0"/>
          <spPr>
            <a:ln xmlns:a="http://schemas.openxmlformats.org/drawingml/2006/main">
              <a:prstDash val="solid"/>
            </a:ln>
          </spPr>
          <cat>
            <numRef>
              <f>'Task Tracker'!$K$6:$K$9</f>
            </numRef>
          </cat>
          <val>
            <numRef>
              <f>'Task Tracker'!$L$6:$L$9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Estimated vs actual by cost line (₹)</a:t>
            </a:r>
          </a:p>
        </rich>
      </tx>
    </title>
    <plotArea>
      <barChart>
        <barDir val="bar"/>
        <grouping val="clustered"/>
        <ser>
          <idx val="0"/>
          <order val="0"/>
          <tx>
            <strRef>
              <f>'Cost Estimate'!C5</f>
            </strRef>
          </tx>
          <spPr>
            <a:ln xmlns:a="http://schemas.openxmlformats.org/drawingml/2006/main">
              <a:prstDash val="solid"/>
            </a:ln>
          </spPr>
          <cat>
            <numRef>
              <f>'Cost Estimate'!$A$6:$A$25</f>
            </numRef>
          </cat>
          <val>
            <numRef>
              <f>'Cost Estimate'!$C$6:$C$25</f>
            </numRef>
          </val>
        </ser>
        <ser>
          <idx val="1"/>
          <order val="1"/>
          <tx>
            <strRef>
              <f>'Cost Estimate'!D5</f>
            </strRef>
          </tx>
          <spPr>
            <a:ln xmlns:a="http://schemas.openxmlformats.org/drawingml/2006/main">
              <a:prstDash val="solid"/>
            </a:ln>
          </spPr>
          <cat>
            <numRef>
              <f>'Cost Estimate'!$A$6:$A$25</f>
            </numRef>
          </cat>
          <val>
            <numRef>
              <f>'Cost Estimate'!$D$6:$D$25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Where the estimate goes</a:t>
            </a:r>
          </a:p>
        </rich>
      </tx>
    </title>
    <plotArea>
      <pieChart>
        <varyColors val="1"/>
        <ser>
          <idx val="0"/>
          <order val="0"/>
          <tx>
            <strRef>
              <f>'Stage Budget'!B5</f>
            </strRef>
          </tx>
          <spPr>
            <a:ln xmlns:a="http://schemas.openxmlformats.org/drawingml/2006/main">
              <a:prstDash val="solid"/>
            </a:ln>
          </spPr>
          <cat>
            <numRef>
              <f>'Stage Budget'!$A$6:$A$14</f>
            </numRef>
          </cat>
          <val>
            <numRef>
              <f>'Stage Budget'!$B$6:$B$14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oneCellAnchor>
    <from>
      <col>9</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12</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27</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8.xml.rels><Relationships xmlns="http://schemas.openxmlformats.org/package/2006/relationships"><Relationship Type="http://schemas.openxmlformats.org/officeDocument/2006/relationships/drawing" Target="/xl/drawings/drawing2.xml" Id="rId1"/></Relationships>
</file>

<file path=xl/worksheets/_rels/sheet2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2F5D50"/>
    <outlinePr summaryBelow="1" summaryRight="1"/>
    <pageSetUpPr/>
  </sheetPr>
  <dimension ref="A1:C55"/>
  <sheetViews>
    <sheetView showGridLines="0" workbookViewId="0">
      <selection activeCell="A1" sqref="A1"/>
    </sheetView>
  </sheetViews>
  <sheetFormatPr baseColWidth="8" defaultRowHeight="15"/>
  <cols>
    <col width="22" customWidth="1" min="1" max="1"/>
    <col width="100" customWidth="1" min="2" max="2"/>
  </cols>
  <sheetData>
    <row r="1">
      <c r="A1" s="1" t="inlineStr">
        <is>
          <t>CONSTRUCTION CALCULATOR - INDIA</t>
        </is>
      </c>
    </row>
    <row r="2">
      <c r="A2" s="2" t="inlineStr">
        <is>
          <t>Plan, estimate and track your build or renovation. Yellow cells are for you to fill in. Green cells calculate automatically.</t>
        </is>
      </c>
    </row>
    <row r="3">
      <c r="A3" s="38" t="inlineStr">
        <is>
          <t>EXAMPLE RENOVATION: sample kitchen, bathroom and bedroom work with placeholder rates. Use the blank master file for your own project.</t>
        </is>
      </c>
    </row>
    <row r="4">
      <c r="A4" s="3" t="inlineStr">
        <is>
          <t>START IN 5 STEPS</t>
        </is>
      </c>
      <c r="B4" s="4" t="n"/>
      <c r="C4" s="4" t="n"/>
    </row>
    <row r="5" ht="34" customHeight="1">
      <c r="A5" s="5" t="inlineStr">
        <is>
          <t>Step</t>
        </is>
      </c>
      <c r="B5" s="5" t="inlineStr">
        <is>
          <t>Where</t>
        </is>
      </c>
      <c r="C5" s="5" t="inlineStr">
        <is>
          <t>What to do</t>
        </is>
      </c>
    </row>
    <row r="6" ht="30" customHeight="1">
      <c r="A6" s="6" t="inlineStr">
        <is>
          <t>1</t>
        </is>
      </c>
      <c r="B6" s="6" t="inlineStr">
        <is>
          <t>Quick Start</t>
        </is>
      </c>
      <c r="C6" s="7" t="inlineStr">
        <is>
          <t>Answer the six questions: project name, client, built-up area, budget, city, and Feet or Metres.</t>
        </is>
      </c>
    </row>
    <row r="7" ht="30" customHeight="1">
      <c r="A7" s="6" t="inlineStr">
        <is>
          <t>2</t>
        </is>
      </c>
      <c r="B7" s="6" t="inlineStr">
        <is>
          <t>Rates</t>
        </is>
      </c>
      <c r="C7" s="7" t="inlineStr">
        <is>
          <t>Type in your local rates. Costs stay at zero until you do.</t>
        </is>
      </c>
    </row>
    <row r="8" ht="30" customHeight="1">
      <c r="A8" s="6" t="inlineStr">
        <is>
          <t>3</t>
        </is>
      </c>
      <c r="B8" s="6" t="inlineStr">
        <is>
          <t>Room Area to Steel</t>
        </is>
      </c>
      <c r="C8" s="7" t="inlineStr">
        <is>
          <t>Enter room sizes, openings and quantities in the yellow boxes.</t>
        </is>
      </c>
    </row>
    <row r="9" ht="30" customHeight="1">
      <c r="A9" s="6" t="inlineStr">
        <is>
          <t>4</t>
        </is>
      </c>
      <c r="B9" s="6" t="inlineStr">
        <is>
          <t>Cost Estimate</t>
        </is>
      </c>
      <c r="C9" s="7" t="inlineStr">
        <is>
          <t>Add costs for items the calculators don't cover. Tag each one with a stage.</t>
        </is>
      </c>
    </row>
    <row r="10" ht="30" customHeight="1">
      <c r="A10" s="6" t="inlineStr">
        <is>
          <t>5</t>
        </is>
      </c>
      <c r="B10" s="6" t="inlineStr">
        <is>
          <t>Order List and Stage Budget</t>
        </is>
      </c>
      <c r="C10" s="7" t="inlineStr">
        <is>
          <t>Use the Order List to buy materials, and the Stage Budget to check money stage by stage.</t>
        </is>
      </c>
    </row>
    <row r="12">
      <c r="A12" s="3" t="inlineStr">
        <is>
          <t>WHAT'S INSIDE</t>
        </is>
      </c>
      <c r="B12" s="4" t="n"/>
      <c r="C12" s="4" t="n"/>
    </row>
    <row r="13" ht="34" customHeight="1">
      <c r="A13" s="5" t="inlineStr">
        <is>
          <t>Tab</t>
        </is>
      </c>
      <c r="B13" s="5" t="inlineStr">
        <is>
          <t>What it does</t>
        </is>
      </c>
    </row>
    <row r="14">
      <c r="A14" s="6" t="inlineStr">
        <is>
          <t>Quick Start</t>
        </is>
      </c>
      <c r="B14" s="6" t="inlineStr">
        <is>
          <t>Six answers to start: name, client, area, budget, city, and Feet or Metres.</t>
        </is>
      </c>
    </row>
    <row r="15">
      <c r="A15" s="6" t="inlineStr">
        <is>
          <t>Assumptions</t>
        </is>
      </c>
      <c r="B15" s="6" t="inlineStr">
        <is>
          <t>Every factor the calculations use, with where to change it and its source status.</t>
        </is>
      </c>
    </row>
    <row r="16">
      <c r="A16" s="6" t="inlineStr">
        <is>
          <t>Terms &amp; Disclaimer</t>
        </is>
      </c>
      <c r="B16" s="6" t="inlineStr">
        <is>
          <t>What this file is, what it is not, and what remains to be completed before sale.</t>
        </is>
      </c>
    </row>
    <row r="17">
      <c r="A17" s="6" t="inlineStr">
        <is>
          <t>Setup</t>
        </is>
      </c>
      <c r="B17" s="6" t="inlineStr">
        <is>
          <t>Project type, contingency and GST. Name, area, budget and units come from Quick Start.</t>
        </is>
      </c>
    </row>
    <row r="18">
      <c r="A18" s="6" t="inlineStr">
        <is>
          <t>Room Area</t>
        </is>
      </c>
      <c r="B18" s="6" t="inlineStr">
        <is>
          <t>Floor area of each room, in sq ft and sq m.</t>
        </is>
      </c>
    </row>
    <row r="19">
      <c r="A19" s="6" t="inlineStr">
        <is>
          <t>Earthwork</t>
        </is>
      </c>
      <c r="B19" s="6" t="inlineStr">
        <is>
          <t>Volume of soil to dig for foundations, trenches and pits, with cost.</t>
        </is>
      </c>
    </row>
    <row r="20">
      <c r="A20" s="6" t="inlineStr">
        <is>
          <t>Paint &amp; Tiles</t>
        </is>
      </c>
      <c r="B20" s="6" t="inlineStr">
        <is>
          <t>Paint litres and tile count, totalled for every room.</t>
        </is>
      </c>
    </row>
    <row r="21">
      <c r="A21" s="6" t="inlineStr">
        <is>
          <t>Exterior &amp; Roof</t>
        </is>
      </c>
      <c r="B21" s="6" t="inlineStr">
        <is>
          <t>Outside wall paint and flat roof waterproofing, with labour.</t>
        </is>
      </c>
    </row>
    <row r="22">
      <c r="A22" s="6" t="inlineStr">
        <is>
          <t>Room Costs</t>
        </is>
      </c>
      <c r="B22" s="6" t="inlineStr">
        <is>
          <t>Paint and tile cost for each room, with each room's share.</t>
        </is>
      </c>
    </row>
    <row r="23">
      <c r="A23" s="6" t="inlineStr">
        <is>
          <t>Concrete</t>
        </is>
      </c>
      <c r="B23" s="6" t="inlineStr">
        <is>
          <t>Concrete volume, cement, sand and aggregate quantities, and cost.</t>
        </is>
      </c>
    </row>
    <row r="24">
      <c r="A24" s="6" t="inlineStr">
        <is>
          <t>Bricks &amp; Blocks</t>
        </is>
      </c>
      <c r="B24" s="6" t="inlineStr">
        <is>
          <t>Brick count, AAC block count and masonry labour.</t>
        </is>
      </c>
    </row>
    <row r="25">
      <c r="A25" s="6" t="inlineStr">
        <is>
          <t>Plaster</t>
        </is>
      </c>
      <c r="B25" s="6" t="inlineStr">
        <is>
          <t>Plaster cement, sand and cost for walls and ceilings.</t>
        </is>
      </c>
    </row>
    <row r="26">
      <c r="A26" s="6" t="inlineStr">
        <is>
          <t>Services</t>
        </is>
      </c>
      <c r="B26" s="6" t="inlineStr">
        <is>
          <t>Count of plumbing and electrical points, with cost per point.</t>
        </is>
      </c>
    </row>
    <row r="27">
      <c r="A27" s="6" t="inlineStr">
        <is>
          <t>Steel</t>
        </is>
      </c>
      <c r="B27" s="6" t="inlineStr">
        <is>
          <t>Steel weight from bar size and number of bars.</t>
        </is>
      </c>
    </row>
    <row r="28">
      <c r="A28" s="6" t="inlineStr">
        <is>
          <t>Cost Estimate</t>
        </is>
      </c>
      <c r="B28" s="6" t="inlineStr">
        <is>
          <t>Full estimate, with contingency, GST and actual spend.</t>
        </is>
      </c>
    </row>
    <row r="29">
      <c r="A29" s="6" t="inlineStr">
        <is>
          <t>Stage Budget</t>
        </is>
      </c>
      <c r="B29" s="6" t="inlineStr">
        <is>
          <t>Estimate and actual spend for each stage, against your target.</t>
        </is>
      </c>
    </row>
    <row r="30">
      <c r="A30" s="6" t="inlineStr">
        <is>
          <t>Stage Checklist</t>
        </is>
      </c>
      <c r="B30" s="6" t="inlineStr">
        <is>
          <t>Checks to tick off before moving to the next stage.</t>
        </is>
      </c>
    </row>
    <row r="31">
      <c r="A31" s="6" t="inlineStr">
        <is>
          <t>Order List</t>
        </is>
      </c>
      <c r="B31" s="6" t="inlineStr">
        <is>
          <t>Materials to buy, with wastage, supplier and order-by date.</t>
        </is>
      </c>
    </row>
    <row r="32">
      <c r="A32" s="6" t="inlineStr">
        <is>
          <t>Task Tracker</t>
        </is>
      </c>
      <c r="B32" s="6" t="inlineStr">
        <is>
          <t>Tasks by stage and room, with who does them, due dates and overdue flags.</t>
        </is>
      </c>
    </row>
    <row r="33">
      <c r="A33" s="6" t="inlineStr">
        <is>
          <t>Permits</t>
        </is>
      </c>
      <c r="B33" s="6" t="inlineStr">
        <is>
          <t>Approvals and permits to apply for, with status and dates.</t>
        </is>
      </c>
    </row>
    <row r="34">
      <c r="A34" s="6" t="inlineStr">
        <is>
          <t>Rates</t>
        </is>
      </c>
      <c r="B34" s="6" t="inlineStr">
        <is>
          <t>Your local rates. Used by every calculator.</t>
        </is>
      </c>
    </row>
    <row r="35">
      <c r="A35" s="6" t="inlineStr">
        <is>
          <t>Rate Quotes</t>
        </is>
      </c>
      <c r="B35" s="6" t="inlineStr">
        <is>
          <t>Compare two supplier quotes and copy the lower rate to Rates.</t>
        </is>
      </c>
    </row>
    <row r="36">
      <c r="A36" s="6" t="inlineStr">
        <is>
          <t>Dashboard</t>
        </is>
      </c>
      <c r="B36" s="6" t="inlineStr">
        <is>
          <t>Charts and key numbers for the whole project.</t>
        </is>
      </c>
    </row>
    <row r="37">
      <c r="A37" s="6" t="inlineStr">
        <is>
          <t>Bill Check</t>
        </is>
      </c>
      <c r="B37" s="6" t="inlineStr">
        <is>
          <t>Compare a contractor's claimed quantities with your calculations.</t>
        </is>
      </c>
    </row>
    <row r="38">
      <c r="A38" s="6" t="inlineStr">
        <is>
          <t>Projects</t>
        </is>
      </c>
      <c r="B38" s="6" t="inlineStr">
        <is>
          <t>Track up to five projects in one file.</t>
        </is>
      </c>
    </row>
    <row r="39">
      <c r="A39" s="6" t="inlineStr">
        <is>
          <t>Bids</t>
        </is>
      </c>
      <c r="B39" s="6" t="inlineStr">
        <is>
          <t>Compare up to three contractor quotes per job.</t>
        </is>
      </c>
    </row>
    <row r="40">
      <c r="A40" s="6" t="inlineStr">
        <is>
          <t>Payments</t>
        </is>
      </c>
      <c r="B40" s="6" t="inlineStr">
        <is>
          <t>Record payments and change orders, and see the balance still to pay.</t>
        </is>
      </c>
    </row>
    <row r="41">
      <c r="A41" s="6" t="inlineStr">
        <is>
          <t>Timeline</t>
        </is>
      </c>
      <c r="B41" s="6" t="inlineStr">
        <is>
          <t>Task schedule with dates, progress and days left.</t>
        </is>
      </c>
    </row>
    <row r="42">
      <c r="A42" s="6" t="inlineStr">
        <is>
          <t>Quotation</t>
        </is>
      </c>
      <c r="B42" s="6" t="inlineStr">
        <is>
          <t>Printable quotation for your client.</t>
        </is>
      </c>
    </row>
    <row r="43">
      <c r="A43" s="6" t="inlineStr">
        <is>
          <t>Rate Library</t>
        </is>
      </c>
      <c r="B43" s="6" t="inlineStr">
        <is>
          <t>Keep supplier rates by city and copy them to Rates.</t>
        </is>
      </c>
    </row>
    <row r="45">
      <c r="A45" s="3" t="inlineStr">
        <is>
          <t>IMPORTANT</t>
        </is>
      </c>
      <c r="B45" s="4" t="n"/>
      <c r="C45" s="4" t="n"/>
    </row>
    <row r="46" ht="32" customHeight="1">
      <c r="A46" s="8" t="inlineStr">
        <is>
          <t>- These are estimates for planning. They are not a structural design. Have a qualified engineer check the design and quantities.</t>
        </is>
      </c>
    </row>
    <row r="47" ht="32" customHeight="1">
      <c r="A47" s="8" t="inlineStr">
        <is>
          <t>- Rates, wastage and coverage vary by supplier and site. Replace the blank rates with your own quotes before relying on the totals.</t>
        </is>
      </c>
    </row>
    <row r="48" ht="32" customHeight="1">
      <c r="A48" s="8" t="inlineStr">
        <is>
          <t>- Sheets are protected with no password. To change a formula: Review &gt; Unprotect Sheet.</t>
        </is>
      </c>
    </row>
    <row r="49" ht="32" customHeight="1">
      <c r="A49" s="8" t="inlineStr">
        <is>
          <t>- Costs appear only after you enter rates on the Rates tab. Until then, every cost shows zero.</t>
        </is>
      </c>
    </row>
    <row r="50" ht="32" customHeight="1">
      <c r="A50" s="8" t="inlineStr">
        <is>
          <t>- Changing Units does not convert numbers you have already typed. Re-enter them after switching.</t>
        </is>
      </c>
    </row>
    <row r="51" ht="32" customHeight="1">
      <c r="A51" s="8" t="inlineStr">
        <is>
          <t>- This file does NOT calculate: plumbing and electrical quantities, the price of doors and windows, external wall painting, waterproofing area, roofing, labour for tiles and paint, transport, approval fees, backfilling and soil removal. Enter these by hand or get quotes.</t>
        </is>
      </c>
    </row>
    <row r="52" ht="32" customHeight="1">
      <c r="A52" s="8" t="inlineStr">
        <is>
          <t>- Paint is calculated on walls only. Ceilings are not painted in the calculation. Add ceiling paint under Other.</t>
        </is>
      </c>
    </row>
    <row r="53" ht="32" customHeight="1">
      <c r="A53" s="8" t="inlineStr">
        <is>
          <t>- The estimate uses the brick option only. AAC blocks are calculated on the Bricks &amp; Blocks tab but are not in the Cost Estimate. Choose one or the other.</t>
        </is>
      </c>
    </row>
    <row r="54" ht="32" customHeight="1">
      <c r="A54" s="8" t="inlineStr">
        <is>
          <t>- Tested in LibreOffice only. Not yet tested in Microsoft Excel or Google Sheets.</t>
        </is>
      </c>
    </row>
    <row r="55" ht="32" customHeight="1">
      <c r="A55" s="8" t="inlineStr">
        <is>
          <t>- The Assumptions tab lists every factor the calculations use. The Terms tab sets out what the file is and is not. Read both before relying on any figure.</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49:C49"/>
    <mergeCell ref="A47:C47"/>
    <mergeCell ref="A46:C46"/>
    <mergeCell ref="A53:C53"/>
    <mergeCell ref="A55:C55"/>
    <mergeCell ref="A50:C50"/>
    <mergeCell ref="A48:C48"/>
    <mergeCell ref="A54:C54"/>
    <mergeCell ref="A51:C51"/>
    <mergeCell ref="A52:C52"/>
  </mergeCells>
  <pageMargins left="0.75" right="0.75" top="1" bottom="1" header="0.5" footer="0.5"/>
</worksheet>
</file>

<file path=xl/worksheets/sheet2.xml><?xml version="1.0" encoding="utf-8"?>
<worksheet xmlns="http://schemas.openxmlformats.org/spreadsheetml/2006/main">
  <sheetPr>
    <tabColor rgb="002F5D50"/>
    <outlinePr summaryBelow="1" summaryRight="1"/>
    <pageSetUpPr/>
  </sheetPr>
  <dimension ref="A1:C23"/>
  <sheetViews>
    <sheetView showGridLines="0" workbookViewId="0">
      <selection activeCell="A1" sqref="A1"/>
    </sheetView>
  </sheetViews>
  <sheetFormatPr baseColWidth="8" defaultRowHeight="15"/>
  <cols>
    <col width="30" customWidth="1" min="1" max="1"/>
    <col width="30" customWidth="1" min="2" max="2"/>
    <col width="70" customWidth="1" min="3" max="3"/>
  </cols>
  <sheetData>
    <row r="1">
      <c r="A1" s="1" t="inlineStr">
        <is>
          <t>QUICK START</t>
        </is>
      </c>
    </row>
    <row r="2">
      <c r="A2" s="2" t="inlineStr">
        <is>
          <t>Answer these six questions first. The rest of the file uses your answers.</t>
        </is>
      </c>
    </row>
    <row r="3">
      <c r="A3" s="38" t="inlineStr">
        <is>
          <t>EXAMPLE RENOVATION: placeholder rates and quantities. These totals are NOT a real estimate.</t>
        </is>
      </c>
    </row>
    <row r="4" ht="34" customHeight="1">
      <c r="A4" s="5" t="inlineStr">
        <is>
          <t>Question</t>
        </is>
      </c>
      <c r="B4" s="5" t="inlineStr">
        <is>
          <t>Your answer</t>
        </is>
      </c>
      <c r="C4" s="5" t="inlineStr">
        <is>
          <t>Why we need it</t>
        </is>
      </c>
    </row>
    <row r="5">
      <c r="A5" s="9" t="inlineStr">
        <is>
          <t>Project name</t>
        </is>
      </c>
      <c r="B5" s="10" t="inlineStr">
        <is>
          <t>My Home Project</t>
        </is>
      </c>
      <c r="C5" s="8" t="inlineStr">
        <is>
          <t>Shown on every tab and on the quotation</t>
        </is>
      </c>
    </row>
    <row r="6">
      <c r="A6" s="9" t="inlineStr">
        <is>
          <t>Client / owner</t>
        </is>
      </c>
      <c r="B6" s="10" t="inlineStr"/>
      <c r="C6" s="8" t="inlineStr">
        <is>
          <t>Shown on the quotation</t>
        </is>
      </c>
    </row>
    <row r="7">
      <c r="A7" s="9" t="inlineStr">
        <is>
          <t>Built-up area</t>
        </is>
      </c>
      <c r="B7" s="11" t="n">
        <v>1500</v>
      </c>
      <c r="C7" s="8" t="inlineStr">
        <is>
          <t>Total floor area of the building, in the units you choose below</t>
        </is>
      </c>
    </row>
    <row r="8">
      <c r="A8" s="9" t="inlineStr">
        <is>
          <t>Target budget (₹)</t>
        </is>
      </c>
      <c r="B8" s="12" t="n">
        <v>2500000</v>
      </c>
      <c r="C8" s="8" t="inlineStr">
        <is>
          <t>The most you plan to spend</t>
        </is>
      </c>
    </row>
    <row r="9">
      <c r="A9" s="9" t="inlineStr">
        <is>
          <t>City</t>
        </is>
      </c>
      <c r="B9" s="10" t="inlineStr">
        <is>
          <t>Chennai</t>
        </is>
      </c>
      <c r="C9" s="8" t="inlineStr">
        <is>
          <t>For your reference</t>
        </is>
      </c>
    </row>
    <row r="10">
      <c r="A10" s="9" t="inlineStr">
        <is>
          <t>Units</t>
        </is>
      </c>
      <c r="B10" s="10" t="inlineStr">
        <is>
          <t>Feet</t>
        </is>
      </c>
      <c r="C10" s="8" t="inlineStr">
        <is>
          <t>Feet or Metres. Set this before you measure anything. Changing it does not convert numbers already typed.</t>
        </is>
      </c>
    </row>
    <row r="12">
      <c r="A12" s="3" t="inlineStr">
        <is>
          <t>THEN WORK THROUGH THESE TABS IN ORDER</t>
        </is>
      </c>
      <c r="B12" s="4" t="n"/>
      <c r="C12" s="4" t="n"/>
    </row>
    <row r="13" ht="34" customHeight="1">
      <c r="A13" s="5" t="inlineStr">
        <is>
          <t>Step</t>
        </is>
      </c>
      <c r="B13" s="5" t="inlineStr">
        <is>
          <t>Tab</t>
        </is>
      </c>
      <c r="C13" s="5" t="inlineStr">
        <is>
          <t>What to do</t>
        </is>
      </c>
    </row>
    <row r="14">
      <c r="A14" s="6" t="inlineStr">
        <is>
          <t>1</t>
        </is>
      </c>
      <c r="B14" s="6" t="inlineStr">
        <is>
          <t>Room Area</t>
        </is>
      </c>
      <c r="C14" s="7" t="inlineStr">
        <is>
          <t>Enter each room's size.</t>
        </is>
      </c>
    </row>
    <row r="15">
      <c r="A15" s="6" t="inlineStr">
        <is>
          <t>2</t>
        </is>
      </c>
      <c r="B15" s="6" t="inlineStr">
        <is>
          <t>Paint &amp; Tiles</t>
        </is>
      </c>
      <c r="C15" s="7" t="inlineStr">
        <is>
          <t>Enter each room once, with its doors and windows.</t>
        </is>
      </c>
    </row>
    <row r="16">
      <c r="A16" s="6" t="inlineStr">
        <is>
          <t>3</t>
        </is>
      </c>
      <c r="B16" s="6" t="inlineStr">
        <is>
          <t>Concrete</t>
        </is>
      </c>
      <c r="C16" s="7" t="inlineStr">
        <is>
          <t>Enter slabs, beams, columns and footings. Use the mix your engineer specifies.</t>
        </is>
      </c>
    </row>
    <row r="17">
      <c r="A17" s="6" t="inlineStr">
        <is>
          <t>4</t>
        </is>
      </c>
      <c r="B17" s="6" t="inlineStr">
        <is>
          <t>Bricks &amp; Blocks</t>
        </is>
      </c>
      <c r="C17" s="7" t="inlineStr">
        <is>
          <t>Enter wall lengths, heights and openings.</t>
        </is>
      </c>
    </row>
    <row r="18">
      <c r="A18" s="6" t="inlineStr">
        <is>
          <t>5</t>
        </is>
      </c>
      <c r="B18" s="6" t="inlineStr">
        <is>
          <t>Steel</t>
        </is>
      </c>
      <c r="C18" s="7" t="inlineStr">
        <is>
          <t>Enter bar sizes and counts from your structural drawings.</t>
        </is>
      </c>
    </row>
    <row r="19">
      <c r="A19" s="6" t="inlineStr">
        <is>
          <t>6</t>
        </is>
      </c>
      <c r="B19" s="6" t="inlineStr">
        <is>
          <t>Rates</t>
        </is>
      </c>
      <c r="C19" s="7" t="inlineStr">
        <is>
          <t>Type in your own quotes. Costs show as zero until you do.</t>
        </is>
      </c>
    </row>
    <row r="20">
      <c r="A20" s="6" t="inlineStr">
        <is>
          <t>7</t>
        </is>
      </c>
      <c r="B20" s="6" t="inlineStr">
        <is>
          <t>Cost Estimate</t>
        </is>
      </c>
      <c r="C20" s="7" t="inlineStr">
        <is>
          <t>Add costs the calculators don't cover, and tag each with a stage.</t>
        </is>
      </c>
    </row>
    <row r="21">
      <c r="A21" s="6" t="inlineStr">
        <is>
          <t>8</t>
        </is>
      </c>
      <c r="B21" s="6" t="inlineStr">
        <is>
          <t>Stage Budget and Order List</t>
        </is>
      </c>
      <c r="C21" s="7" t="inlineStr">
        <is>
          <t>Check spend by stage and see what to buy.</t>
        </is>
      </c>
    </row>
    <row r="23">
      <c r="A23" s="13" t="inlineStr">
        <is>
          <t>Yellow cells are yours to change. Green cells calculate automatically.</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B10" showDropDown="0" showInputMessage="0" showErrorMessage="0" allowBlank="1" type="list">
      <formula1>"Feet,Metres"</formula1>
    </dataValidation>
  </dataValidations>
  <pageMargins left="0.75" right="0.75" top="1" bottom="1" header="0.5" footer="0.5"/>
</worksheet>
</file>

<file path=xl/worksheets/sheet3.xml><?xml version="1.0" encoding="utf-8"?>
<worksheet xmlns="http://schemas.openxmlformats.org/spreadsheetml/2006/main">
  <sheetPr>
    <tabColor rgb="002F5D50"/>
    <outlinePr summaryBelow="1" summaryRight="1"/>
    <pageSetUpPr/>
  </sheetPr>
  <dimension ref="A1:C19"/>
  <sheetViews>
    <sheetView showGridLines="0" workbookViewId="0">
      <selection activeCell="A1" sqref="A1"/>
    </sheetView>
  </sheetViews>
  <sheetFormatPr baseColWidth="8" defaultRowHeight="15"/>
  <cols>
    <col width="30" customWidth="1" min="1" max="1"/>
    <col width="22" customWidth="1" min="2" max="2"/>
    <col width="70" customWidth="1" min="3" max="3"/>
  </cols>
  <sheetData>
    <row r="1">
      <c r="A1" s="1" t="inlineStr">
        <is>
          <t>SETUP</t>
        </is>
      </c>
    </row>
    <row r="2">
      <c r="A2" s="2" t="inlineStr">
        <is>
          <t>Enter this once for each project. Every calculator uses these settings.</t>
        </is>
      </c>
    </row>
    <row r="3">
      <c r="A3" s="38" t="inlineStr">
        <is>
          <t>EXAMPLE RENOVATION: placeholder rates and quantities. These totals are NOT a real estimate.</t>
        </is>
      </c>
    </row>
    <row r="4" ht="34" customHeight="1">
      <c r="A4" s="5" t="inlineStr">
        <is>
          <t>Setting</t>
        </is>
      </c>
      <c r="B4" s="5" t="inlineStr">
        <is>
          <t>Your entry</t>
        </is>
      </c>
      <c r="C4" s="5" t="inlineStr">
        <is>
          <t>What to enter</t>
        </is>
      </c>
    </row>
    <row r="5">
      <c r="A5" s="9" t="inlineStr">
        <is>
          <t>Project name</t>
        </is>
      </c>
      <c r="B5" s="14" t="inlineStr">
        <is>
          <t>EXAMPLE RENOVATION: kitchen, bathroom and bedroom, 1,000 sq ft flat, Chennai</t>
        </is>
      </c>
      <c r="C5" s="8" t="inlineStr">
        <is>
          <t>Any name you like</t>
        </is>
      </c>
    </row>
    <row r="6">
      <c r="A6" s="9" t="inlineStr">
        <is>
          <t>Client / owner</t>
        </is>
      </c>
      <c r="B6" s="14" t="inlineStr">
        <is>
          <t>Sample client</t>
        </is>
      </c>
      <c r="C6" s="8" t="inlineStr">
        <is>
          <t>Name of the homeowner or client (used on the quotation)</t>
        </is>
      </c>
    </row>
    <row r="7">
      <c r="A7" s="9" t="inlineStr">
        <is>
          <t>City</t>
        </is>
      </c>
      <c r="B7" s="14" t="inlineStr">
        <is>
          <t>Chennai</t>
        </is>
      </c>
      <c r="C7" s="8" t="inlineStr">
        <is>
          <t>For your reference</t>
        </is>
      </c>
    </row>
    <row r="8">
      <c r="A8" s="9" t="inlineStr">
        <is>
          <t>Project type</t>
        </is>
      </c>
      <c r="B8" s="10" t="inlineStr">
        <is>
          <t>Renovation</t>
        </is>
      </c>
      <c r="C8" s="8" t="inlineStr">
        <is>
          <t>For your reference. It doesn't change calculations.</t>
        </is>
      </c>
    </row>
    <row r="9">
      <c r="A9" s="9" t="inlineStr">
        <is>
          <t>Units</t>
        </is>
      </c>
      <c r="B9" s="14">
        <f>'Quick Start'!B10</f>
        <v/>
      </c>
      <c r="C9" s="8" t="inlineStr">
        <is>
          <t>Feet or Metres. Set this before you measure anything. Changing it does not convert numbers already typed.</t>
        </is>
      </c>
    </row>
    <row r="10">
      <c r="A10" s="9" t="inlineStr">
        <is>
          <t>Built-up area</t>
        </is>
      </c>
      <c r="B10" s="15" t="n">
        <v>1000</v>
      </c>
      <c r="C10" s="8" t="inlineStr">
        <is>
          <t>In the units you chose (sq ft or sq m). Total floor area.</t>
        </is>
      </c>
    </row>
    <row r="11">
      <c r="A11" s="9" t="inlineStr">
        <is>
          <t>Target budget (₹)</t>
        </is>
      </c>
      <c r="B11" s="16" t="n">
        <v>400000</v>
      </c>
      <c r="C11" s="8" t="inlineStr">
        <is>
          <t>The most you plan to spend</t>
        </is>
      </c>
    </row>
    <row r="12">
      <c r="A12" s="9" t="inlineStr">
        <is>
          <t>Contingency (%)</t>
        </is>
      </c>
      <c r="B12" s="17" t="n">
        <v>0.1</v>
      </c>
      <c r="C12" s="8" t="inlineStr">
        <is>
          <t>Extra money for unknowns. Added to the estimate.</t>
        </is>
      </c>
    </row>
    <row r="13">
      <c r="A13" s="9" t="inlineStr">
        <is>
          <t>GST on works (%)</t>
        </is>
      </c>
      <c r="B13" s="17" t="n">
        <v>0</v>
      </c>
      <c r="C13" s="8" t="inlineStr">
        <is>
          <t>Leave at 0% until your accountant confirms the rate for your contract.</t>
        </is>
      </c>
    </row>
    <row r="14">
      <c r="A14" s="9" t="inlineStr">
        <is>
          <t>Start date</t>
        </is>
      </c>
      <c r="B14" s="39" t="n">
        <v>46327</v>
      </c>
      <c r="C14" s="8" t="inlineStr">
        <is>
          <t>Drives the start of the Timeline.</t>
        </is>
      </c>
    </row>
    <row r="16">
      <c r="A16" s="3" t="inlineStr">
        <is>
          <t>AUTOMATIC CONVERSIONS (do not edit)</t>
        </is>
      </c>
      <c r="B16" s="4" t="n"/>
      <c r="C16" s="4" t="n"/>
    </row>
    <row r="17">
      <c r="A17" s="13" t="inlineStr">
        <is>
          <t>Length factor to feet</t>
        </is>
      </c>
      <c r="B17" s="40">
        <f>IF(B9="Metres",3.28084,1)</f>
        <v/>
      </c>
    </row>
    <row r="18">
      <c r="A18" s="13" t="inlineStr">
        <is>
          <t>Area factor to sq ft</t>
        </is>
      </c>
      <c r="B18" s="41">
        <f>IF(B9="Metres",10.7639,1)</f>
        <v/>
      </c>
    </row>
    <row r="19">
      <c r="A19" s="13" t="inlineStr">
        <is>
          <t>Built-up area in sq ft</t>
        </is>
      </c>
      <c r="B19" s="21">
        <f>B10*B18</f>
        <v/>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B8" showDropDown="0" showInputMessage="0" showErrorMessage="0" allowBlank="1" type="list">
      <formula1>"New build,Renovation,Interior only"</formula1>
    </dataValidation>
  </dataValidations>
  <pageMargins left="0.75" right="0.75" top="1" bottom="1" header="0.5" footer="0.5"/>
</worksheet>
</file>

<file path=xl/worksheets/sheet4.xml><?xml version="1.0" encoding="utf-8"?>
<worksheet xmlns="http://schemas.openxmlformats.org/spreadsheetml/2006/main">
  <sheetPr>
    <tabColor rgb="002F5D50"/>
    <outlinePr summaryBelow="1" summaryRight="1"/>
    <pageSetUpPr/>
  </sheetPr>
  <dimension ref="A1:F21"/>
  <sheetViews>
    <sheetView showGridLines="0" workbookViewId="0">
      <pane ySplit="5" topLeftCell="A6" activePane="bottomLeft" state="frozen"/>
      <selection pane="bottomLeft" activeCell="A1" sqref="A1"/>
    </sheetView>
  </sheetViews>
  <sheetFormatPr baseColWidth="8" defaultRowHeight="15"/>
  <cols>
    <col width="24" customWidth="1" min="1" max="1"/>
    <col width="16" customWidth="1" min="2" max="2"/>
    <col width="16" customWidth="1" min="3" max="3"/>
    <col width="20" customWidth="1" min="4" max="4"/>
    <col width="18" customWidth="1" min="5" max="5"/>
    <col width="16" customWidth="1" min="6" max="6"/>
  </cols>
  <sheetData>
    <row r="1">
      <c r="A1" s="1" t="inlineStr">
        <is>
          <t>ROOM AREA</t>
        </is>
      </c>
    </row>
    <row r="2">
      <c r="A2" s="2" t="inlineStr">
        <is>
          <t>Type the size of each room. The areas add up automatically.</t>
        </is>
      </c>
    </row>
    <row r="3">
      <c r="A3" s="38" t="inlineStr">
        <is>
          <t>EXAMPLE RENOVATION: placeholder rates and quantities. These totals are NOT a real estimate.</t>
        </is>
      </c>
    </row>
    <row r="5" ht="34" customHeight="1">
      <c r="A5" s="5" t="inlineStr">
        <is>
          <t>Room / space</t>
        </is>
      </c>
      <c r="B5" s="5">
        <f>"Length ("&amp;IF(Setup!$B$9="Metres","m","ft")&amp;")"</f>
        <v/>
      </c>
      <c r="C5" s="5">
        <f>"Width ("&amp;IF(Setup!$B$9="Metres","m","ft")&amp;")"</f>
        <v/>
      </c>
      <c r="D5" s="5" t="inlineStr">
        <is>
          <t>Count (identical rooms)</t>
        </is>
      </c>
      <c r="E5" s="5">
        <f>"Area ("&amp;IF(Setup!$B$9="Metres","sq m","sq ft")&amp;")"</f>
        <v/>
      </c>
      <c r="F5" s="5" t="inlineStr">
        <is>
          <t>Area (sq m)</t>
        </is>
      </c>
    </row>
    <row r="6">
      <c r="A6" s="10" t="inlineStr">
        <is>
          <t>Kitchen</t>
        </is>
      </c>
      <c r="B6" s="11" t="n">
        <v>10</v>
      </c>
      <c r="C6" s="11" t="n">
        <v>9</v>
      </c>
      <c r="D6" s="22" t="n">
        <v>1</v>
      </c>
      <c r="E6" s="23">
        <f>IF(OR(B6="",C6=""),0,B6*C6*IF(D6="",1,D6)*Setup!$B$18)</f>
        <v/>
      </c>
      <c r="F6" s="23">
        <f>E6/10.7639</f>
        <v/>
      </c>
    </row>
    <row r="7">
      <c r="A7" s="10" t="inlineStr">
        <is>
          <t>Bedroom</t>
        </is>
      </c>
      <c r="B7" s="11" t="n">
        <v>12</v>
      </c>
      <c r="C7" s="11" t="n">
        <v>11</v>
      </c>
      <c r="D7" s="22" t="n">
        <v>1</v>
      </c>
      <c r="E7" s="23">
        <f>IF(OR(B7="",C7=""),0,B7*C7*IF(D7="",1,D7)*Setup!$B$18)</f>
        <v/>
      </c>
      <c r="F7" s="23">
        <f>E7/10.7639</f>
        <v/>
      </c>
    </row>
    <row r="8">
      <c r="A8" s="10" t="inlineStr">
        <is>
          <t>Bathroom</t>
        </is>
      </c>
      <c r="B8" s="11" t="n">
        <v>6</v>
      </c>
      <c r="C8" s="11" t="n">
        <v>5</v>
      </c>
      <c r="D8" s="22" t="n">
        <v>1</v>
      </c>
      <c r="E8" s="23">
        <f>IF(OR(B8="",C8=""),0,B8*C8*IF(D8="",1,D8)*Setup!$B$18)</f>
        <v/>
      </c>
      <c r="F8" s="23">
        <f>E8/10.7639</f>
        <v/>
      </c>
    </row>
    <row r="9">
      <c r="A9" s="10" t="n"/>
      <c r="B9" s="11" t="n"/>
      <c r="C9" s="11" t="n"/>
      <c r="D9" s="22" t="n"/>
      <c r="E9" s="23">
        <f>IF(OR(B9="",C9=""),0,B9*C9*IF(D9="",1,D9)*Setup!$B$18)</f>
        <v/>
      </c>
      <c r="F9" s="23">
        <f>E9/10.7639</f>
        <v/>
      </c>
    </row>
    <row r="10">
      <c r="A10" s="10" t="n"/>
      <c r="B10" s="11" t="n"/>
      <c r="C10" s="11" t="n"/>
      <c r="D10" s="22" t="n"/>
      <c r="E10" s="23">
        <f>IF(OR(B10="",C10=""),0,B10*C10*IF(D10="",1,D10)*Setup!$B$18)</f>
        <v/>
      </c>
      <c r="F10" s="23">
        <f>E10/10.7639</f>
        <v/>
      </c>
    </row>
    <row r="11">
      <c r="A11" s="10" t="n"/>
      <c r="B11" s="11" t="n"/>
      <c r="C11" s="11" t="n"/>
      <c r="D11" s="22" t="n"/>
      <c r="E11" s="23">
        <f>IF(OR(B11="",C11=""),0,B11*C11*IF(D11="",1,D11)*Setup!$B$18)</f>
        <v/>
      </c>
      <c r="F11" s="23">
        <f>E11/10.7639</f>
        <v/>
      </c>
    </row>
    <row r="12">
      <c r="A12" s="10" t="n"/>
      <c r="B12" s="11" t="n"/>
      <c r="C12" s="11" t="n"/>
      <c r="D12" s="22" t="n"/>
      <c r="E12" s="23">
        <f>IF(OR(B12="",C12=""),0,B12*C12*IF(D12="",1,D12)*Setup!$B$18)</f>
        <v/>
      </c>
      <c r="F12" s="23">
        <f>E12/10.7639</f>
        <v/>
      </c>
    </row>
    <row r="13">
      <c r="A13" s="10" t="n"/>
      <c r="B13" s="11" t="n"/>
      <c r="C13" s="11" t="n"/>
      <c r="D13" s="22" t="n"/>
      <c r="E13" s="23">
        <f>IF(OR(B13="",C13=""),0,B13*C13*IF(D13="",1,D13)*Setup!$B$18)</f>
        <v/>
      </c>
      <c r="F13" s="23">
        <f>E13/10.7639</f>
        <v/>
      </c>
    </row>
    <row r="14">
      <c r="A14" s="10" t="n"/>
      <c r="B14" s="11" t="n"/>
      <c r="C14" s="11" t="n"/>
      <c r="D14" s="22" t="n"/>
      <c r="E14" s="23">
        <f>IF(OR(B14="",C14=""),0,B14*C14*IF(D14="",1,D14)*Setup!$B$18)</f>
        <v/>
      </c>
      <c r="F14" s="23">
        <f>E14/10.7639</f>
        <v/>
      </c>
    </row>
    <row r="15">
      <c r="A15" s="10" t="n"/>
      <c r="B15" s="11" t="n"/>
      <c r="C15" s="11" t="n"/>
      <c r="D15" s="22" t="n"/>
      <c r="E15" s="23">
        <f>IF(OR(B15="",C15=""),0,B15*C15*IF(D15="",1,D15)*Setup!$B$18)</f>
        <v/>
      </c>
      <c r="F15" s="23">
        <f>E15/10.7639</f>
        <v/>
      </c>
    </row>
    <row r="16">
      <c r="A16" s="10" t="n"/>
      <c r="B16" s="11" t="n"/>
      <c r="C16" s="11" t="n"/>
      <c r="D16" s="22" t="n"/>
      <c r="E16" s="23">
        <f>IF(OR(B16="",C16=""),0,B16*C16*IF(D16="",1,D16)*Setup!$B$18)</f>
        <v/>
      </c>
      <c r="F16" s="23">
        <f>E16/10.7639</f>
        <v/>
      </c>
    </row>
    <row r="17">
      <c r="A17" s="10" t="n"/>
      <c r="B17" s="11" t="n"/>
      <c r="C17" s="11" t="n"/>
      <c r="D17" s="22" t="n"/>
      <c r="E17" s="23">
        <f>IF(OR(B17="",C17=""),0,B17*C17*IF(D17="",1,D17)*Setup!$B$18)</f>
        <v/>
      </c>
      <c r="F17" s="23">
        <f>E17/10.7639</f>
        <v/>
      </c>
    </row>
    <row r="18">
      <c r="A18" s="9" t="inlineStr">
        <is>
          <t>TOTAL</t>
        </is>
      </c>
      <c r="E18" s="23">
        <f>SUM(E6:E17)</f>
        <v/>
      </c>
      <c r="F18" s="23">
        <f>SUM(F6:F17)</f>
        <v/>
      </c>
    </row>
    <row r="20">
      <c r="A20" s="13" t="inlineStr">
        <is>
          <t>Enter up to 12 rooms. Paint &amp; Tiles reads these rooms, so enter them once here.</t>
        </is>
      </c>
    </row>
    <row r="21">
      <c r="A21" s="13" t="inlineStr">
        <is>
          <t>Tip: for 4 identical bathrooms, type 4 in Count. Count multiplies walls and floor.</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5.xml><?xml version="1.0" encoding="utf-8"?>
<worksheet xmlns="http://schemas.openxmlformats.org/spreadsheetml/2006/main">
  <sheetPr>
    <tabColor rgb="002F5D50"/>
    <outlinePr summaryBelow="1" summaryRight="1"/>
    <pageSetUpPr/>
  </sheetPr>
  <dimension ref="A1:G25"/>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8" customWidth="1" min="6" max="6"/>
    <col width="16" customWidth="1" min="7" max="7"/>
  </cols>
  <sheetData>
    <row r="1">
      <c r="A1" s="1" t="inlineStr">
        <is>
          <t>EARTHWORK</t>
        </is>
      </c>
    </row>
    <row r="2">
      <c r="A2" s="2" t="inlineStr">
        <is>
          <t>Soil to dig for foundations, trenches and pits. Dimensions follow your Units setting.</t>
        </is>
      </c>
    </row>
    <row r="3">
      <c r="A3" s="38" t="inlineStr">
        <is>
          <t>EXAMPLE RENOVATION: placeholder rates and quantities. These totals are NOT a real estimate.</t>
        </is>
      </c>
    </row>
    <row r="5" ht="34" customHeight="1">
      <c r="A5" s="5" t="inlineStr">
        <is>
          <t>Item</t>
        </is>
      </c>
      <c r="B5" s="5">
        <f>"Length ("&amp;IF(Setup!$B$9="Metres","m","ft")&amp;")"</f>
        <v/>
      </c>
      <c r="C5" s="5">
        <f>"Width ("&amp;IF(Setup!$B$9="Metres","m","ft")&amp;")"</f>
        <v/>
      </c>
      <c r="D5" s="5">
        <f>"Depth ("&amp;IF(Setup!$B$9="Metres","m","ft")&amp;")"</f>
        <v/>
      </c>
      <c r="E5" s="5" t="inlineStr">
        <is>
          <t>Count</t>
        </is>
      </c>
      <c r="F5" s="5" t="inlineStr">
        <is>
          <t>Volume (cu ft)</t>
        </is>
      </c>
      <c r="G5" s="5" t="inlineStr">
        <is>
          <t>Volume (m³)</t>
        </is>
      </c>
    </row>
    <row r="6">
      <c r="A6" s="10" t="n"/>
      <c r="B6" s="11" t="n"/>
      <c r="C6" s="11" t="n"/>
      <c r="D6" s="11" t="n"/>
      <c r="E6" s="22" t="n"/>
      <c r="F6" s="23">
        <f>IF(OR(B6="",C6="",D6=""),0,B6*C6*D6*IF(E6="",1,E6)*Setup!$B$17^3)</f>
        <v/>
      </c>
      <c r="G6" s="23">
        <f>F6/35.3147</f>
        <v/>
      </c>
    </row>
    <row r="7">
      <c r="A7" s="10" t="n"/>
      <c r="B7" s="11" t="n"/>
      <c r="C7" s="11" t="n"/>
      <c r="D7" s="11" t="n"/>
      <c r="E7" s="22" t="n"/>
      <c r="F7" s="23">
        <f>IF(OR(B7="",C7="",D7=""),0,B7*C7*D7*IF(E7="",1,E7)*Setup!$B$17^3)</f>
        <v/>
      </c>
      <c r="G7" s="23">
        <f>F7/35.3147</f>
        <v/>
      </c>
    </row>
    <row r="8">
      <c r="A8" s="10" t="n"/>
      <c r="B8" s="11" t="n"/>
      <c r="C8" s="11" t="n"/>
      <c r="D8" s="11" t="n"/>
      <c r="E8" s="22" t="n"/>
      <c r="F8" s="23">
        <f>IF(OR(B8="",C8="",D8=""),0,B8*C8*D8*IF(E8="",1,E8)*Setup!$B$17^3)</f>
        <v/>
      </c>
      <c r="G8" s="23">
        <f>F8/35.3147</f>
        <v/>
      </c>
    </row>
    <row r="9">
      <c r="A9" s="10" t="n"/>
      <c r="B9" s="11" t="n"/>
      <c r="C9" s="11" t="n"/>
      <c r="D9" s="11" t="n"/>
      <c r="E9" s="22" t="n"/>
      <c r="F9" s="23">
        <f>IF(OR(B9="",C9="",D9=""),0,B9*C9*D9*IF(E9="",1,E9)*Setup!$B$17^3)</f>
        <v/>
      </c>
      <c r="G9" s="23">
        <f>F9/35.3147</f>
        <v/>
      </c>
    </row>
    <row r="10">
      <c r="A10" s="10" t="n"/>
      <c r="B10" s="11" t="n"/>
      <c r="C10" s="11" t="n"/>
      <c r="D10" s="11" t="n"/>
      <c r="E10" s="22" t="n"/>
      <c r="F10" s="23">
        <f>IF(OR(B10="",C10="",D10=""),0,B10*C10*D10*IF(E10="",1,E10)*Setup!$B$17^3)</f>
        <v/>
      </c>
      <c r="G10" s="23">
        <f>F10/35.3147</f>
        <v/>
      </c>
    </row>
    <row r="11">
      <c r="A11" s="10" t="n"/>
      <c r="B11" s="11" t="n"/>
      <c r="C11" s="11" t="n"/>
      <c r="D11" s="11" t="n"/>
      <c r="E11" s="22" t="n"/>
      <c r="F11" s="23">
        <f>IF(OR(B11="",C11="",D11=""),0,B11*C11*D11*IF(E11="",1,E11)*Setup!$B$17^3)</f>
        <v/>
      </c>
      <c r="G11" s="23">
        <f>F11/35.3147</f>
        <v/>
      </c>
    </row>
    <row r="12">
      <c r="A12" s="10" t="n"/>
      <c r="B12" s="11" t="n"/>
      <c r="C12" s="11" t="n"/>
      <c r="D12" s="11" t="n"/>
      <c r="E12" s="22" t="n"/>
      <c r="F12" s="23">
        <f>IF(OR(B12="",C12="",D12=""),0,B12*C12*D12*IF(E12="",1,E12)*Setup!$B$17^3)</f>
        <v/>
      </c>
      <c r="G12" s="23">
        <f>F12/35.3147</f>
        <v/>
      </c>
    </row>
    <row r="13">
      <c r="A13" s="10" t="n"/>
      <c r="B13" s="11" t="n"/>
      <c r="C13" s="11" t="n"/>
      <c r="D13" s="11" t="n"/>
      <c r="E13" s="22" t="n"/>
      <c r="F13" s="23">
        <f>IF(OR(B13="",C13="",D13=""),0,B13*C13*D13*IF(E13="",1,E13)*Setup!$B$17^3)</f>
        <v/>
      </c>
      <c r="G13" s="23">
        <f>F13/35.3147</f>
        <v/>
      </c>
    </row>
    <row r="14">
      <c r="A14" s="9" t="n"/>
      <c r="F14" s="23">
        <f>SUM(F6:F13)</f>
        <v/>
      </c>
      <c r="G14" s="23">
        <f>SUM(G6:G13)</f>
        <v/>
      </c>
    </row>
    <row r="16">
      <c r="A16" s="3" t="n"/>
      <c r="B16" s="4" t="n"/>
      <c r="C16" s="4" t="n"/>
      <c r="D16" s="4" t="n"/>
      <c r="E16" s="4" t="n"/>
      <c r="F16" s="4" t="n"/>
      <c r="G16" s="4" t="n"/>
    </row>
    <row r="17">
      <c r="A17" s="13" t="inlineStr">
        <is>
          <t>Extra for over-digging and working space (%)</t>
        </is>
      </c>
      <c r="B17" s="17" t="n">
        <v>0.1</v>
      </c>
    </row>
    <row r="18">
      <c r="A18" s="9" t="inlineStr">
        <is>
          <t>Total to excavate (cu ft)</t>
        </is>
      </c>
      <c r="B18" s="23">
        <f>F14*(1+B17)</f>
        <v/>
      </c>
    </row>
    <row r="19">
      <c r="A19" s="9" t="inlineStr">
        <is>
          <t>Total to excavate (m³)</t>
        </is>
      </c>
      <c r="B19" s="23">
        <f>B18/35.3147</f>
        <v/>
      </c>
    </row>
    <row r="21">
      <c r="A21" s="3" t="inlineStr">
        <is>
          <t>COST (₹)</t>
        </is>
      </c>
      <c r="B21" s="4" t="n"/>
      <c r="C21" s="4" t="n"/>
      <c r="D21" s="4" t="n"/>
      <c r="E21" s="4" t="n"/>
      <c r="F21" s="4" t="n"/>
      <c r="G21" s="4" t="n"/>
    </row>
    <row r="22">
      <c r="A22" s="9" t="inlineStr">
        <is>
          <t>Excavation cost (₹)</t>
        </is>
      </c>
      <c r="B22" s="24">
        <f>B18*Rates!$C$16</f>
        <v/>
      </c>
    </row>
    <row r="24">
      <c r="A24" s="13" t="inlineStr">
        <is>
          <t>Not included: backfilling, soil removal by lorry, dewatering and rock. Get a separate quote for soil removal.</t>
        </is>
      </c>
    </row>
    <row r="25">
      <c r="A25" s="13" t="inlineStr">
        <is>
          <t>Excavation rate is on the Rates tab (row 16). It is a placeholder until you enter your own quote.</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6.xml><?xml version="1.0" encoding="utf-8"?>
<worksheet xmlns="http://schemas.openxmlformats.org/spreadsheetml/2006/main">
  <sheetPr>
    <tabColor rgb="002F5D50"/>
    <outlinePr summaryBelow="1" summaryRight="1"/>
    <pageSetUpPr/>
  </sheetPr>
  <dimension ref="A1:J48"/>
  <sheetViews>
    <sheetView showGridLines="0" workbookViewId="0">
      <pane ySplit="5" topLeftCell="A6"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22" customWidth="1" min="7" max="7"/>
    <col width="18" customWidth="1" min="8" max="8"/>
    <col width="26" customWidth="1" min="9" max="9"/>
    <col width="18" customWidth="1" min="10" max="10"/>
  </cols>
  <sheetData>
    <row r="1">
      <c r="A1" s="1" t="inlineStr">
        <is>
          <t>PAINT &amp; TILES</t>
        </is>
      </c>
    </row>
    <row r="2">
      <c r="A2" s="2" t="inlineStr">
        <is>
          <t>Enter each room once. Paint and tile totals add up all rooms. Dimensions follow your Units setting.</t>
        </is>
      </c>
    </row>
    <row r="3">
      <c r="A3" s="38" t="inlineStr">
        <is>
          <t>EXAMPLE RENOVATION: placeholder rates and quantities. These totals are NOT a real estimate.</t>
        </is>
      </c>
    </row>
    <row r="4">
      <c r="A4" s="3" t="inlineStr">
        <is>
          <t>ROOM DATA (walls for paint, floor for tiles)</t>
        </is>
      </c>
      <c r="B4" s="4" t="n"/>
      <c r="C4" s="4" t="n"/>
      <c r="D4" s="4" t="n"/>
      <c r="E4" s="4" t="n"/>
      <c r="F4" s="4" t="n"/>
      <c r="G4" s="4" t="n"/>
      <c r="H4" s="4" t="n"/>
      <c r="I4" s="4" t="n"/>
    </row>
    <row r="5" ht="34" customHeight="1">
      <c r="A5" s="5" t="inlineStr">
        <is>
          <t>Room</t>
        </is>
      </c>
      <c r="B5" s="5">
        <f>"Length ("&amp;IF(Setup!$B$9="Metres","m","ft")&amp;")"</f>
        <v/>
      </c>
      <c r="C5" s="5">
        <f>"Width ("&amp;IF(Setup!$B$9="Metres","m","ft")&amp;")"</f>
        <v/>
      </c>
      <c r="D5" s="5">
        <f>"Height ("&amp;IF(Setup!$B$9="Metres","m","ft")&amp;")"</f>
        <v/>
      </c>
      <c r="E5" s="5" t="inlineStr">
        <is>
          <t>Doors (count)</t>
        </is>
      </c>
      <c r="F5" s="5" t="inlineStr">
        <is>
          <t>Windows (count)</t>
        </is>
      </c>
      <c r="G5" s="5">
        <f>"Net wall area to paint ("&amp;IF(Setup!$B$9="Metres","sq m","sq ft")&amp;")"</f>
        <v/>
      </c>
      <c r="H5" s="5">
        <f>"Floor area ("&amp;IF(Setup!$B$9="Metres","sq m","sq ft")&amp;")"</f>
        <v/>
      </c>
      <c r="I5" s="5" t="inlineStr">
        <is>
          <t>Notes</t>
        </is>
      </c>
      <c r="J5" s="5" t="inlineStr">
        <is>
          <t>Count (from Room Area)</t>
        </is>
      </c>
    </row>
    <row r="6">
      <c r="A6" s="6">
        <f>IF('Room Area'!A6="","",'Room Area'!A6)</f>
        <v/>
      </c>
      <c r="B6" s="23">
        <f>IF('Room Area'!B6="","",'Room Area'!B6)</f>
        <v/>
      </c>
      <c r="C6" s="23">
        <f>IF('Room Area'!C6="","",'Room Area'!C6)</f>
        <v/>
      </c>
      <c r="D6" s="11" t="n">
        <v>10</v>
      </c>
      <c r="E6" s="22" t="n">
        <v>1</v>
      </c>
      <c r="F6" s="22" t="n">
        <v>1</v>
      </c>
      <c r="G6" s="23">
        <f>IF(OR(B6="",C6="",D6=""),0,MAX(0,2*(B6+C6)*D6-(IF(E6="",0,E6)*$B$21*$B$22+IF(F6="",0,F6)*$B$23*$B$24))*Setup!$B$18*J6)</f>
        <v/>
      </c>
      <c r="H6" s="23">
        <f>IF(OR(B6="",C6=""),0,B6*C6*Setup!$B$18*J6)</f>
        <v/>
      </c>
      <c r="I6" s="10" t="n"/>
      <c r="J6" s="21">
        <f>IF('Room Area'!D6="",1,'Room Area'!D6)</f>
        <v/>
      </c>
    </row>
    <row r="7">
      <c r="A7" s="6">
        <f>IF('Room Area'!A7="","",'Room Area'!A7)</f>
        <v/>
      </c>
      <c r="B7" s="23">
        <f>IF('Room Area'!B7="","",'Room Area'!B7)</f>
        <v/>
      </c>
      <c r="C7" s="23">
        <f>IF('Room Area'!C7="","",'Room Area'!C7)</f>
        <v/>
      </c>
      <c r="D7" s="11" t="n">
        <v>10</v>
      </c>
      <c r="E7" s="22" t="n">
        <v>1</v>
      </c>
      <c r="F7" s="22" t="n">
        <v>1</v>
      </c>
      <c r="G7" s="23">
        <f>IF(OR(B7="",C7="",D7=""),0,MAX(0,2*(B7+C7)*D7-(IF(E7="",0,E7)*$B$21*$B$22+IF(F7="",0,F7)*$B$23*$B$24))*Setup!$B$18*J7)</f>
        <v/>
      </c>
      <c r="H7" s="23">
        <f>IF(OR(B7="",C7=""),0,B7*C7*Setup!$B$18*J7)</f>
        <v/>
      </c>
      <c r="I7" s="10" t="n"/>
      <c r="J7" s="21">
        <f>IF('Room Area'!D7="",1,'Room Area'!D7)</f>
        <v/>
      </c>
    </row>
    <row r="8">
      <c r="A8" s="6">
        <f>IF('Room Area'!A8="","",'Room Area'!A8)</f>
        <v/>
      </c>
      <c r="B8" s="23">
        <f>IF('Room Area'!B8="","",'Room Area'!B8)</f>
        <v/>
      </c>
      <c r="C8" s="23">
        <f>IF('Room Area'!C8="","",'Room Area'!C8)</f>
        <v/>
      </c>
      <c r="D8" s="11" t="n">
        <v>8</v>
      </c>
      <c r="E8" s="22" t="n">
        <v>1</v>
      </c>
      <c r="F8" s="22" t="n">
        <v>0</v>
      </c>
      <c r="G8" s="23">
        <f>IF(OR(B8="",C8="",D8=""),0,MAX(0,2*(B8+C8)*D8-(IF(E8="",0,E8)*$B$21*$B$22+IF(F8="",0,F8)*$B$23*$B$24))*Setup!$B$18*J8)</f>
        <v/>
      </c>
      <c r="H8" s="23">
        <f>IF(OR(B8="",C8=""),0,B8*C8*Setup!$B$18*J8)</f>
        <v/>
      </c>
      <c r="I8" s="10" t="n"/>
      <c r="J8" s="21">
        <f>IF('Room Area'!D8="",1,'Room Area'!D8)</f>
        <v/>
      </c>
    </row>
    <row r="9">
      <c r="A9" s="6">
        <f>IF('Room Area'!A9="","",'Room Area'!A9)</f>
        <v/>
      </c>
      <c r="B9" s="23">
        <f>IF('Room Area'!B9="","",'Room Area'!B9)</f>
        <v/>
      </c>
      <c r="C9" s="23">
        <f>IF('Room Area'!C9="","",'Room Area'!C9)</f>
        <v/>
      </c>
      <c r="D9" s="11" t="n"/>
      <c r="E9" s="22" t="n"/>
      <c r="F9" s="22" t="n"/>
      <c r="G9" s="23">
        <f>IF(OR(B9="",C9="",D9=""),0,MAX(0,2*(B9+C9)*D9-(IF(E9="",0,E9)*$B$21*$B$22+IF(F9="",0,F9)*$B$23*$B$24))*Setup!$B$18*J9)</f>
        <v/>
      </c>
      <c r="H9" s="23">
        <f>IF(OR(B9="",C9=""),0,B9*C9*Setup!$B$18*J9)</f>
        <v/>
      </c>
      <c r="I9" s="10" t="n"/>
      <c r="J9" s="21">
        <f>IF('Room Area'!D9="",1,'Room Area'!D9)</f>
        <v/>
      </c>
    </row>
    <row r="10">
      <c r="A10" s="6">
        <f>IF('Room Area'!A10="","",'Room Area'!A10)</f>
        <v/>
      </c>
      <c r="B10" s="23">
        <f>IF('Room Area'!B10="","",'Room Area'!B10)</f>
        <v/>
      </c>
      <c r="C10" s="23">
        <f>IF('Room Area'!C10="","",'Room Area'!C10)</f>
        <v/>
      </c>
      <c r="D10" s="11" t="n"/>
      <c r="E10" s="22" t="n"/>
      <c r="F10" s="22" t="n"/>
      <c r="G10" s="23">
        <f>IF(OR(B10="",C10="",D10=""),0,MAX(0,2*(B10+C10)*D10-(IF(E10="",0,E10)*$B$21*$B$22+IF(F10="",0,F10)*$B$23*$B$24))*Setup!$B$18*J10)</f>
        <v/>
      </c>
      <c r="H10" s="23">
        <f>IF(OR(B10="",C10=""),0,B10*C10*Setup!$B$18*J10)</f>
        <v/>
      </c>
      <c r="I10" s="10" t="n"/>
      <c r="J10" s="21">
        <f>IF('Room Area'!D10="",1,'Room Area'!D10)</f>
        <v/>
      </c>
    </row>
    <row r="11">
      <c r="A11" s="6">
        <f>IF('Room Area'!A11="","",'Room Area'!A11)</f>
        <v/>
      </c>
      <c r="B11" s="23">
        <f>IF('Room Area'!B11="","",'Room Area'!B11)</f>
        <v/>
      </c>
      <c r="C11" s="23">
        <f>IF('Room Area'!C11="","",'Room Area'!C11)</f>
        <v/>
      </c>
      <c r="D11" s="11" t="n"/>
      <c r="E11" s="22" t="n"/>
      <c r="F11" s="22" t="n"/>
      <c r="G11" s="23">
        <f>IF(OR(B11="",C11="",D11=""),0,MAX(0,2*(B11+C11)*D11-(IF(E11="",0,E11)*$B$21*$B$22+IF(F11="",0,F11)*$B$23*$B$24))*Setup!$B$18*J11)</f>
        <v/>
      </c>
      <c r="H11" s="23">
        <f>IF(OR(B11="",C11=""),0,B11*C11*Setup!$B$18*J11)</f>
        <v/>
      </c>
      <c r="I11" s="10" t="n"/>
      <c r="J11" s="21">
        <f>IF('Room Area'!D11="",1,'Room Area'!D11)</f>
        <v/>
      </c>
    </row>
    <row r="12">
      <c r="A12" s="6">
        <f>IF('Room Area'!A12="","",'Room Area'!A12)</f>
        <v/>
      </c>
      <c r="B12" s="23">
        <f>IF('Room Area'!B12="","",'Room Area'!B12)</f>
        <v/>
      </c>
      <c r="C12" s="23">
        <f>IF('Room Area'!C12="","",'Room Area'!C12)</f>
        <v/>
      </c>
      <c r="D12" s="11" t="n"/>
      <c r="E12" s="22" t="n"/>
      <c r="F12" s="22" t="n"/>
      <c r="G12" s="23">
        <f>IF(OR(B12="",C12="",D12=""),0,MAX(0,2*(B12+C12)*D12-(IF(E12="",0,E12)*$B$21*$B$22+IF(F12="",0,F12)*$B$23*$B$24))*Setup!$B$18*J12)</f>
        <v/>
      </c>
      <c r="H12" s="23">
        <f>IF(OR(B12="",C12=""),0,B12*C12*Setup!$B$18*J12)</f>
        <v/>
      </c>
      <c r="I12" s="10" t="n"/>
      <c r="J12" s="21">
        <f>IF('Room Area'!D12="",1,'Room Area'!D12)</f>
        <v/>
      </c>
    </row>
    <row r="13">
      <c r="A13" s="6">
        <f>IF('Room Area'!A13="","",'Room Area'!A13)</f>
        <v/>
      </c>
      <c r="B13" s="23">
        <f>IF('Room Area'!B13="","",'Room Area'!B13)</f>
        <v/>
      </c>
      <c r="C13" s="23">
        <f>IF('Room Area'!C13="","",'Room Area'!C13)</f>
        <v/>
      </c>
      <c r="D13" s="11" t="n"/>
      <c r="E13" s="22" t="n"/>
      <c r="F13" s="22" t="n"/>
      <c r="G13" s="23">
        <f>IF(OR(B13="",C13="",D13=""),0,MAX(0,2*(B13+C13)*D13-(IF(E13="",0,E13)*$B$21*$B$22+IF(F13="",0,F13)*$B$23*$B$24))*Setup!$B$18*J13)</f>
        <v/>
      </c>
      <c r="H13" s="23">
        <f>IF(OR(B13="",C13=""),0,B13*C13*Setup!$B$18*J13)</f>
        <v/>
      </c>
      <c r="I13" s="10" t="n"/>
      <c r="J13" s="21">
        <f>IF('Room Area'!D13="",1,'Room Area'!D13)</f>
        <v/>
      </c>
    </row>
    <row r="14">
      <c r="A14" s="6">
        <f>IF('Room Area'!A14="","",'Room Area'!A14)</f>
        <v/>
      </c>
      <c r="B14" s="23">
        <f>IF('Room Area'!B14="","",'Room Area'!B14)</f>
        <v/>
      </c>
      <c r="C14" s="23">
        <f>IF('Room Area'!C14="","",'Room Area'!C14)</f>
        <v/>
      </c>
      <c r="D14" s="11" t="n"/>
      <c r="E14" s="22" t="n"/>
      <c r="F14" s="22" t="n"/>
      <c r="G14" s="23">
        <f>IF(OR(B14="",C14="",D14=""),0,MAX(0,2*(B14+C14)*D14-(IF(E14="",0,E14)*$B$21*$B$22+IF(F14="",0,F14)*$B$23*$B$24))*Setup!$B$18*J14)</f>
        <v/>
      </c>
      <c r="H14" s="23">
        <f>IF(OR(B14="",C14=""),0,B14*C14*Setup!$B$18*J14)</f>
        <v/>
      </c>
      <c r="I14" s="10" t="n"/>
      <c r="J14" s="21">
        <f>IF('Room Area'!D14="",1,'Room Area'!D14)</f>
        <v/>
      </c>
    </row>
    <row r="15">
      <c r="A15" s="6">
        <f>IF('Room Area'!A15="","",'Room Area'!A15)</f>
        <v/>
      </c>
      <c r="B15" s="23">
        <f>IF('Room Area'!B15="","",'Room Area'!B15)</f>
        <v/>
      </c>
      <c r="C15" s="23">
        <f>IF('Room Area'!C15="","",'Room Area'!C15)</f>
        <v/>
      </c>
      <c r="D15" s="11" t="n"/>
      <c r="E15" s="22" t="n"/>
      <c r="F15" s="22" t="n"/>
      <c r="G15" s="23">
        <f>IF(OR(B15="",C15="",D15=""),0,MAX(0,2*(B15+C15)*D15-(IF(E15="",0,E15)*$B$21*$B$22+IF(F15="",0,F15)*$B$23*$B$24))*Setup!$B$18*J15)</f>
        <v/>
      </c>
      <c r="H15" s="23">
        <f>IF(OR(B15="",C15=""),0,B15*C15*Setup!$B$18*J15)</f>
        <v/>
      </c>
      <c r="I15" s="10" t="n"/>
      <c r="J15" s="21">
        <f>IF('Room Area'!D15="",1,'Room Area'!D15)</f>
        <v/>
      </c>
    </row>
    <row r="16">
      <c r="A16" s="6">
        <f>IF('Room Area'!A16="","",'Room Area'!A16)</f>
        <v/>
      </c>
      <c r="B16" s="23">
        <f>IF('Room Area'!B16="","",'Room Area'!B16)</f>
        <v/>
      </c>
      <c r="C16" s="23">
        <f>IF('Room Area'!C16="","",'Room Area'!C16)</f>
        <v/>
      </c>
      <c r="D16" s="11" t="n"/>
      <c r="E16" s="22" t="n"/>
      <c r="F16" s="22" t="n"/>
      <c r="G16" s="23">
        <f>IF(OR(B16="",C16="",D16=""),0,MAX(0,2*(B16+C16)*D16-(IF(E16="",0,E16)*$B$21*$B$22+IF(F16="",0,F16)*$B$23*$B$24))*Setup!$B$18*J16)</f>
        <v/>
      </c>
      <c r="H16" s="23">
        <f>IF(OR(B16="",C16=""),0,B16*C16*Setup!$B$18*J16)</f>
        <v/>
      </c>
      <c r="I16" s="10" t="n"/>
      <c r="J16" s="21">
        <f>IF('Room Area'!D16="",1,'Room Area'!D16)</f>
        <v/>
      </c>
    </row>
    <row r="17">
      <c r="A17" s="6">
        <f>IF('Room Area'!A17="","",'Room Area'!A17)</f>
        <v/>
      </c>
      <c r="B17" s="23">
        <f>IF('Room Area'!B17="","",'Room Area'!B17)</f>
        <v/>
      </c>
      <c r="C17" s="23">
        <f>IF('Room Area'!C17="","",'Room Area'!C17)</f>
        <v/>
      </c>
      <c r="D17" s="11" t="n"/>
      <c r="E17" s="22" t="n"/>
      <c r="F17" s="22" t="n"/>
      <c r="G17" s="23">
        <f>IF(OR(B17="",C17="",D17=""),0,MAX(0,2*(B17+C17)*D17-(IF(E17="",0,E17)*$B$21*$B$22+IF(F17="",0,F17)*$B$23*$B$24))*Setup!$B$18*J17)</f>
        <v/>
      </c>
      <c r="H17" s="23">
        <f>IF(OR(B17="",C17=""),0,B17*C17*Setup!$B$18*J17)</f>
        <v/>
      </c>
      <c r="I17" s="10" t="n"/>
      <c r="J17" s="21">
        <f>IF('Room Area'!D17="",1,'Room Area'!D17)</f>
        <v/>
      </c>
    </row>
    <row r="18">
      <c r="A18" s="9" t="inlineStr">
        <is>
          <t>TOTAL</t>
        </is>
      </c>
      <c r="G18" s="23">
        <f>SUM(G6:G17)</f>
        <v/>
      </c>
      <c r="H18" s="23">
        <f>SUM(H6:H17)</f>
        <v/>
      </c>
    </row>
    <row r="20">
      <c r="A20" s="3" t="inlineStr">
        <is>
          <t>OPENINGS (standard size, applies to every room)</t>
        </is>
      </c>
      <c r="B20" s="4" t="n"/>
      <c r="C20" s="4" t="n"/>
      <c r="D20" s="4" t="n"/>
      <c r="E20" s="4" t="n"/>
      <c r="F20" s="4" t="n"/>
      <c r="G20" s="4" t="n"/>
      <c r="H20" s="4" t="n"/>
      <c r="I20" s="4" t="n"/>
    </row>
    <row r="21">
      <c r="A21" s="13">
        <f>"Door width ("&amp;IF(Setup!$B$9="Metres","m","ft")&amp;")"</f>
        <v/>
      </c>
      <c r="B21" s="11" t="n">
        <v>3</v>
      </c>
    </row>
    <row r="22">
      <c r="A22" s="13">
        <f>"Door height ("&amp;IF(Setup!$B$9="Metres","m","ft")&amp;")"</f>
        <v/>
      </c>
      <c r="B22" s="11" t="n">
        <v>7</v>
      </c>
    </row>
    <row r="23">
      <c r="A23" s="13">
        <f>"Window width ("&amp;IF(Setup!$B$9="Metres","m","ft")&amp;")"</f>
        <v/>
      </c>
      <c r="B23" s="11" t="n">
        <v>4</v>
      </c>
    </row>
    <row r="24">
      <c r="A24" s="13">
        <f>"Window height ("&amp;IF(Setup!$B$9="Metres","m","ft")&amp;")"</f>
        <v/>
      </c>
      <c r="B24" s="11" t="n">
        <v>4</v>
      </c>
    </row>
    <row r="26">
      <c r="A26" s="3" t="inlineStr">
        <is>
          <t>PAINT SETTINGS</t>
        </is>
      </c>
      <c r="B26" s="4" t="n"/>
      <c r="C26" s="4" t="n"/>
      <c r="D26" s="4" t="n"/>
      <c r="E26" s="4" t="n"/>
      <c r="F26" s="4" t="n"/>
      <c r="G26" s="4" t="n"/>
      <c r="H26" s="4" t="n"/>
      <c r="I26" s="4" t="n"/>
    </row>
    <row r="27">
      <c r="A27" s="13" t="inlineStr">
        <is>
          <t>Number of coats</t>
        </is>
      </c>
      <c r="B27" s="22" t="n">
        <v>2</v>
      </c>
    </row>
    <row r="28">
      <c r="A28" s="13" t="inlineStr">
        <is>
          <t>Paint coverage (sq ft per litre)</t>
        </is>
      </c>
      <c r="B28" s="22" t="n">
        <v>100</v>
      </c>
    </row>
    <row r="29">
      <c r="A29" s="13" t="inlineStr">
        <is>
          <t>Extra for waste (%)</t>
        </is>
      </c>
      <c r="B29" s="17" t="n">
        <v>0.1</v>
      </c>
    </row>
    <row r="31">
      <c r="A31" s="3" t="inlineStr">
        <is>
          <t>TILE SETTINGS</t>
        </is>
      </c>
      <c r="B31" s="4" t="n"/>
      <c r="C31" s="4" t="n"/>
      <c r="D31" s="4" t="n"/>
      <c r="E31" s="4" t="n"/>
      <c r="F31" s="4" t="n"/>
      <c r="G31" s="4" t="n"/>
      <c r="H31" s="4" t="n"/>
      <c r="I31" s="4" t="n"/>
    </row>
    <row r="32">
      <c r="A32" s="13" t="inlineStr">
        <is>
          <t>Tile length (mm)</t>
        </is>
      </c>
      <c r="B32" s="22" t="n">
        <v>600</v>
      </c>
    </row>
    <row r="33">
      <c r="A33" s="13" t="inlineStr">
        <is>
          <t>Tile width (mm)</t>
        </is>
      </c>
      <c r="B33" s="22" t="n">
        <v>600</v>
      </c>
    </row>
    <row r="34">
      <c r="A34" s="13" t="inlineStr">
        <is>
          <t>Extra for cutting and breakage (%)</t>
        </is>
      </c>
      <c r="B34" s="17" t="n">
        <v>0.1</v>
      </c>
    </row>
    <row r="36">
      <c r="A36" s="3" t="inlineStr">
        <is>
          <t>RESULTS</t>
        </is>
      </c>
      <c r="B36" s="4" t="n"/>
      <c r="C36" s="4" t="n"/>
      <c r="D36" s="4" t="n"/>
      <c r="E36" s="4" t="n"/>
      <c r="F36" s="4" t="n"/>
      <c r="G36" s="4" t="n"/>
      <c r="H36" s="4" t="n"/>
      <c r="I36" s="4" t="n"/>
    </row>
    <row r="37">
      <c r="A37" s="13" t="inlineStr">
        <is>
          <t>Net wall area to paint (sq ft)</t>
        </is>
      </c>
      <c r="B37" s="23">
        <f>G18</f>
        <v/>
      </c>
    </row>
    <row r="38">
      <c r="A38" s="9" t="inlineStr">
        <is>
          <t>Litres of paint to buy</t>
        </is>
      </c>
      <c r="B38" s="21">
        <f>IF(B37=0,0,ROUNDUP(B37*B27/B28*(1+B29),0))</f>
        <v/>
      </c>
    </row>
    <row r="39">
      <c r="A39" s="9" t="inlineStr">
        <is>
          <t>Paint cost (₹)</t>
        </is>
      </c>
      <c r="B39" s="24">
        <f>B38*Rates!$C$12</f>
        <v/>
      </c>
    </row>
    <row r="40">
      <c r="A40" s="13" t="inlineStr">
        <is>
          <t>Floor area to tile (sq ft)</t>
        </is>
      </c>
      <c r="B40" s="23">
        <f>H18</f>
        <v/>
      </c>
    </row>
    <row r="41">
      <c r="A41" s="9" t="inlineStr">
        <is>
          <t>Tiles to buy</t>
        </is>
      </c>
      <c r="B41" s="21">
        <f>IF(B40=0,0,ROUNDUP(B40*(1+B34)/((B32/304.8)*(B33/304.8)),0))</f>
        <v/>
      </c>
    </row>
    <row r="42">
      <c r="A42" s="9" t="inlineStr">
        <is>
          <t>Tile cost (₹)</t>
        </is>
      </c>
      <c r="B42" s="24">
        <f>B40*(1+B34)*Rates!$C$13</f>
        <v/>
      </c>
    </row>
    <row r="44">
      <c r="A44" s="13" t="inlineStr">
        <is>
          <t>Tip: enter a row per room. Leave unused rows blank. Count the openings in each room.</t>
        </is>
      </c>
    </row>
    <row r="46">
      <c r="A46" s="3" t="inlineStr">
        <is>
          <t>OPENINGS TOTAL (linked to Bricks &amp; Blocks)</t>
        </is>
      </c>
      <c r="B46" s="4" t="n"/>
      <c r="C46" s="4" t="n"/>
      <c r="D46" s="4" t="n"/>
      <c r="E46" s="4" t="n"/>
      <c r="F46" s="4" t="n"/>
      <c r="G46" s="4" t="n"/>
      <c r="H46" s="4" t="n"/>
      <c r="I46" s="4" t="n"/>
    </row>
    <row r="47">
      <c r="A47" s="13" t="inlineStr">
        <is>
          <t>Window area, all rooms (sq ft)</t>
        </is>
      </c>
      <c r="B47" s="23">
        <f>SUMPRODUCT(F6:F17,J6:J17)*B23*B24*Setup!$B$18</f>
        <v/>
      </c>
    </row>
    <row r="48">
      <c r="A48" s="13" t="inlineStr">
        <is>
          <t>Door area, all rooms (sq ft)</t>
        </is>
      </c>
      <c r="B48" s="23">
        <f>SUMPRODUCT(E6:E17,J6:J17)*B21*B22*Setup!$B$18</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7.xml><?xml version="1.0" encoding="utf-8"?>
<worksheet xmlns="http://schemas.openxmlformats.org/spreadsheetml/2006/main">
  <sheetPr>
    <tabColor rgb="002F5D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18" customWidth="1" min="2" max="2"/>
    <col width="14" customWidth="1" min="3" max="3"/>
  </cols>
  <sheetData>
    <row r="1">
      <c r="A1" s="1" t="inlineStr">
        <is>
          <t>EXTERIOR PAINT &amp; ROOF</t>
        </is>
      </c>
    </row>
    <row r="2">
      <c r="A2" s="2" t="inlineStr">
        <is>
          <t>Outside walls and a flat roof. Dimensions follow your Units setting. Pitched roofs are not covered here.</t>
        </is>
      </c>
    </row>
    <row r="3">
      <c r="A3" s="38" t="inlineStr">
        <is>
          <t>EXAMPLE RENOVATION: placeholder rates and quantities. These totals are NOT a real estimate.</t>
        </is>
      </c>
    </row>
    <row r="4">
      <c r="A4" s="3" t="inlineStr">
        <is>
          <t>EXTERIOR WALLS</t>
        </is>
      </c>
      <c r="B4" s="4" t="n"/>
      <c r="C4" s="4" t="n"/>
    </row>
    <row r="5">
      <c r="A5" s="13">
        <f>"Building perimeter (outside wall length) ("&amp;IF(Setup!$B$9="Metres","m","ft")&amp;")"</f>
        <v/>
      </c>
      <c r="B5" s="11" t="n"/>
    </row>
    <row r="6">
      <c r="A6" s="13">
        <f>"Outside wall height ("&amp;IF(Setup!$B$9="Metres","m","ft")&amp;")"</f>
        <v/>
      </c>
      <c r="B6" s="11" t="n"/>
    </row>
    <row r="7">
      <c r="A7" s="13">
        <f>"Less doors and windows on outside walls ("&amp;IF(Setup!$B$9="Metres","sq m","sq ft")&amp;")"</f>
        <v/>
      </c>
      <c r="B7" s="11" t="n"/>
    </row>
    <row r="8">
      <c r="A8" s="13">
        <f>"External wall area to paint ("&amp;IF(Setup!$B$9="Metres","sq m","sq ft")&amp;")"</f>
        <v/>
      </c>
      <c r="B8" s="23">
        <f>IF(OR(B5="",B6=""),0,MAX(0,B5*B6-IF(B7="",0,B7))*Setup!$B$18)</f>
        <v/>
      </c>
    </row>
    <row r="9">
      <c r="A9" s="13" t="inlineStr">
        <is>
          <t>Number of coats</t>
        </is>
      </c>
      <c r="B9" s="22" t="n">
        <v>2</v>
      </c>
    </row>
    <row r="10">
      <c r="A10" s="13" t="inlineStr">
        <is>
          <t>Paint coverage (sq ft per litre)</t>
        </is>
      </c>
      <c r="B10" s="21">
        <f>'Paint &amp; Tiles'!B28</f>
        <v/>
      </c>
    </row>
    <row r="11">
      <c r="A11" s="13" t="inlineStr">
        <is>
          <t>Extra for waste (%)</t>
        </is>
      </c>
      <c r="B11" s="25">
        <f>'Paint &amp; Tiles'!B29</f>
        <v/>
      </c>
    </row>
    <row r="12">
      <c r="A12" s="9" t="inlineStr">
        <is>
          <t>Litres of exterior paint to buy</t>
        </is>
      </c>
      <c r="B12" s="21">
        <f>IF(B8=0,0,ROUNDUP(B8*B9/B10*(1+B11),0))</f>
        <v/>
      </c>
    </row>
    <row r="13">
      <c r="A13" s="9" t="inlineStr">
        <is>
          <t>Exterior paint cost (₹)</t>
        </is>
      </c>
      <c r="B13" s="24">
        <f>B12*Rates!$C$17</f>
        <v/>
      </c>
    </row>
    <row r="14">
      <c r="A14" s="9" t="inlineStr">
        <is>
          <t>Exterior painting labour (₹)</t>
        </is>
      </c>
      <c r="B14" s="24">
        <f>B8*Rates!$C$20</f>
        <v/>
      </c>
    </row>
    <row r="16">
      <c r="A16" s="3" t="inlineStr">
        <is>
          <t>FLAT ROOF (terrace)</t>
        </is>
      </c>
      <c r="B16" s="4" t="n"/>
      <c r="C16" s="4" t="n"/>
    </row>
    <row r="17">
      <c r="A17" s="13">
        <f>"Roof area (plan area of a flat roof) ("&amp;IF(Setup!$B$9="Metres","sq m","sq ft")&amp;")"</f>
        <v/>
      </c>
      <c r="B17" s="11" t="n"/>
    </row>
    <row r="18">
      <c r="A18" s="9" t="inlineStr">
        <is>
          <t>Roof waterproofing cost (₹)</t>
        </is>
      </c>
      <c r="B18" s="24">
        <f>B17*Setup!$B$18*Rates!$C$18</f>
        <v/>
      </c>
    </row>
    <row r="20">
      <c r="A20" s="3" t="inlineStr">
        <is>
          <t>TOTAL</t>
        </is>
      </c>
      <c r="B20" s="4" t="n"/>
      <c r="C20" s="4" t="n"/>
    </row>
    <row r="21">
      <c r="A21" s="9" t="inlineStr">
        <is>
          <t>Exterior paint and roof total (₹)</t>
        </is>
      </c>
      <c r="B21" s="24">
        <f>B13+B14+B18</f>
        <v/>
      </c>
    </row>
    <row r="23">
      <c r="A23" s="13" t="inlineStr">
        <is>
          <t>Enter the outside wall length and height. Openings are subtracted. Two coats is a common default. Check with your painter.</t>
        </is>
      </c>
    </row>
    <row r="24">
      <c r="A24" s="13" t="inlineStr">
        <is>
          <t>Roof: flat roofs only. A sloped roof needs its own quote for sheets or tiles.</t>
        </is>
      </c>
    </row>
    <row r="25">
      <c r="A25" s="13" t="inlineStr">
        <is>
          <t>The roof rate should cover both material and labour. Use your own quote.</t>
        </is>
      </c>
    </row>
    <row r="26">
      <c r="A26" s="13" t="inlineStr">
        <is>
          <t>Not included: scaffolding, cleaning, crack repair, and external plaster.</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8.xml><?xml version="1.0" encoding="utf-8"?>
<worksheet xmlns="http://schemas.openxmlformats.org/spreadsheetml/2006/main">
  <sheetPr>
    <tabColor rgb="002F5D50"/>
    <outlinePr summaryBelow="1" summaryRight="1"/>
    <pageSetUpPr/>
  </sheetPr>
  <dimension ref="A1:G34"/>
  <sheetViews>
    <sheetView showGridLines="0" workbookViewId="0">
      <selection activeCell="A1" sqref="A1"/>
    </sheetView>
  </sheetViews>
  <sheetFormatPr baseColWidth="8" defaultRowHeight="15"/>
  <cols>
    <col width="32" customWidth="1" min="1" max="1"/>
    <col width="16" customWidth="1" min="2" max="2"/>
    <col width="16" customWidth="1" min="3" max="3"/>
    <col width="18" customWidth="1" min="4" max="4"/>
    <col width="12" customWidth="1" min="5" max="5"/>
    <col width="16" customWidth="1" min="6" max="6"/>
    <col width="16" customWidth="1" min="7" max="7"/>
  </cols>
  <sheetData>
    <row r="1">
      <c r="A1" s="1" t="inlineStr">
        <is>
          <t>CONCRETE</t>
        </is>
      </c>
    </row>
    <row r="2">
      <c r="A2" s="2" t="inlineStr">
        <is>
          <t>Enter the size of each concrete item. Mix quantities and cost are worked out for you.</t>
        </is>
      </c>
    </row>
    <row r="3">
      <c r="A3" s="38" t="inlineStr">
        <is>
          <t>EXAMPLE RENOVATION: placeholder rates and quantities. These totals are NOT a real estimate.</t>
        </is>
      </c>
    </row>
    <row r="5" ht="34" customHeight="1">
      <c r="A5" s="5" t="inlineStr">
        <is>
          <t>Item</t>
        </is>
      </c>
      <c r="B5" s="5">
        <f>"Length ("&amp;IF(Setup!$B$9="Metres","m","ft")&amp;")"</f>
        <v/>
      </c>
      <c r="C5" s="5">
        <f>"Width ("&amp;IF(Setup!$B$9="Metres","m","ft")&amp;")"</f>
        <v/>
      </c>
      <c r="D5" s="5">
        <f>"Depth / height ("&amp;IF(Setup!$B$9="Metres","m","ft")&amp;")"</f>
        <v/>
      </c>
      <c r="E5" s="5" t="inlineStr">
        <is>
          <t>Count</t>
        </is>
      </c>
      <c r="F5" s="5" t="inlineStr">
        <is>
          <t>Volume (cu ft)</t>
        </is>
      </c>
      <c r="G5" s="5" t="inlineStr">
        <is>
          <t>Volume (m³)</t>
        </is>
      </c>
    </row>
    <row r="6">
      <c r="A6" s="10" t="n"/>
      <c r="B6" s="11" t="n"/>
      <c r="C6" s="11" t="n"/>
      <c r="D6" s="11" t="n"/>
      <c r="E6" s="22" t="n"/>
      <c r="F6" s="23">
        <f>IF(OR(B6="",C6="",D6=""),0,B6*C6*D6*IF(E6="",1,E6)*Setup!$B$17^3)</f>
        <v/>
      </c>
      <c r="G6" s="23">
        <f>F6/35.3147</f>
        <v/>
      </c>
    </row>
    <row r="7">
      <c r="A7" s="10" t="n"/>
      <c r="B7" s="11" t="n"/>
      <c r="C7" s="11" t="n"/>
      <c r="D7" s="11" t="n"/>
      <c r="E7" s="22" t="n"/>
      <c r="F7" s="23">
        <f>IF(OR(B7="",C7="",D7=""),0,B7*C7*D7*IF(E7="",1,E7)*Setup!$B$17^3)</f>
        <v/>
      </c>
      <c r="G7" s="23">
        <f>F7/35.3147</f>
        <v/>
      </c>
    </row>
    <row r="8">
      <c r="A8" s="10" t="n"/>
      <c r="B8" s="11" t="n"/>
      <c r="C8" s="11" t="n"/>
      <c r="D8" s="11" t="n"/>
      <c r="E8" s="22" t="n"/>
      <c r="F8" s="23">
        <f>IF(OR(B8="",C8="",D8=""),0,B8*C8*D8*IF(E8="",1,E8)*Setup!$B$17^3)</f>
        <v/>
      </c>
      <c r="G8" s="23">
        <f>F8/35.3147</f>
        <v/>
      </c>
    </row>
    <row r="9">
      <c r="A9" s="10" t="n"/>
      <c r="B9" s="11" t="n"/>
      <c r="C9" s="11" t="n"/>
      <c r="D9" s="11" t="n"/>
      <c r="E9" s="22" t="n"/>
      <c r="F9" s="23">
        <f>IF(OR(B9="",C9="",D9=""),0,B9*C9*D9*IF(E9="",1,E9)*Setup!$B$17^3)</f>
        <v/>
      </c>
      <c r="G9" s="23">
        <f>F9/35.3147</f>
        <v/>
      </c>
    </row>
    <row r="10">
      <c r="A10" s="10" t="n"/>
      <c r="B10" s="11" t="n"/>
      <c r="C10" s="11" t="n"/>
      <c r="D10" s="11" t="n"/>
      <c r="E10" s="22" t="n"/>
      <c r="F10" s="23">
        <f>IF(OR(B10="",C10="",D10=""),0,B10*C10*D10*IF(E10="",1,E10)*Setup!$B$17^3)</f>
        <v/>
      </c>
      <c r="G10" s="23">
        <f>F10/35.3147</f>
        <v/>
      </c>
    </row>
    <row r="11">
      <c r="A11" s="10" t="n"/>
      <c r="B11" s="11" t="n"/>
      <c r="C11" s="11" t="n"/>
      <c r="D11" s="11" t="n"/>
      <c r="E11" s="22" t="n"/>
      <c r="F11" s="23">
        <f>IF(OR(B11="",C11="",D11=""),0,B11*C11*D11*IF(E11="",1,E11)*Setup!$B$17^3)</f>
        <v/>
      </c>
      <c r="G11" s="23">
        <f>F11/35.3147</f>
        <v/>
      </c>
    </row>
    <row r="12">
      <c r="A12" s="10" t="n"/>
      <c r="B12" s="11" t="n"/>
      <c r="C12" s="11" t="n"/>
      <c r="D12" s="11" t="n"/>
      <c r="E12" s="22" t="n"/>
      <c r="F12" s="23">
        <f>IF(OR(B12="",C12="",D12=""),0,B12*C12*D12*IF(E12="",1,E12)*Setup!$B$17^3)</f>
        <v/>
      </c>
      <c r="G12" s="23">
        <f>F12/35.3147</f>
        <v/>
      </c>
    </row>
    <row r="13">
      <c r="A13" s="10" t="n"/>
      <c r="B13" s="11" t="n"/>
      <c r="C13" s="11" t="n"/>
      <c r="D13" s="11" t="n"/>
      <c r="E13" s="22" t="n"/>
      <c r="F13" s="23">
        <f>IF(OR(B13="",C13="",D13=""),0,B13*C13*D13*IF(E13="",1,E13)*Setup!$B$17^3)</f>
        <v/>
      </c>
      <c r="G13" s="23">
        <f>F13/35.3147</f>
        <v/>
      </c>
    </row>
    <row r="14">
      <c r="A14" s="9" t="n"/>
      <c r="F14" s="23">
        <f>SUM(F6:F13)</f>
        <v/>
      </c>
      <c r="G14" s="23">
        <f>SUM(G6:G13)</f>
        <v/>
      </c>
    </row>
    <row r="16">
      <c r="A16" s="3" t="n"/>
      <c r="B16" s="4" t="n"/>
      <c r="C16" s="4" t="n"/>
      <c r="D16" s="4" t="n"/>
      <c r="E16" s="4" t="n"/>
      <c r="F16" s="4" t="n"/>
      <c r="G16" s="4" t="n"/>
    </row>
    <row r="17">
      <c r="A17" s="13" t="inlineStr">
        <is>
          <t>Cement parts</t>
        </is>
      </c>
      <c r="B17" s="22" t="n">
        <v>1</v>
      </c>
      <c r="C17" s="13" t="inlineStr">
        <is>
          <t>1 : 2 : 4 is an example mix only. The grade and mix come from your engineer's specification, which always takes priority.</t>
        </is>
      </c>
    </row>
    <row r="18">
      <c r="A18" s="13" t="inlineStr">
        <is>
          <t>Sand parts</t>
        </is>
      </c>
      <c r="B18" s="22" t="n">
        <v>2</v>
      </c>
    </row>
    <row r="19">
      <c r="A19" s="13" t="inlineStr">
        <is>
          <t>Aggregate parts</t>
        </is>
      </c>
      <c r="B19" s="22" t="n">
        <v>4</v>
      </c>
    </row>
    <row r="20">
      <c r="A20" s="13" t="inlineStr">
        <is>
          <t>Dry volume factor (wet to dry)</t>
        </is>
      </c>
      <c r="B20" s="26" t="n">
        <v>1.54</v>
      </c>
    </row>
    <row r="21">
      <c r="A21" s="13" t="inlineStr">
        <is>
          <t>Dry volume (cu ft)</t>
        </is>
      </c>
      <c r="B21" s="23">
        <f>F14*B20</f>
        <v/>
      </c>
    </row>
    <row r="22">
      <c r="A22" s="13" t="inlineStr">
        <is>
          <t>Total parts</t>
        </is>
      </c>
      <c r="B22" s="21">
        <f>SUM(B17:B19)</f>
        <v/>
      </c>
    </row>
    <row r="24">
      <c r="A24" s="3" t="inlineStr">
        <is>
          <t>MATERIALS NEEDED (before extra wastage)</t>
        </is>
      </c>
      <c r="B24" s="4" t="n"/>
      <c r="C24" s="4" t="n"/>
      <c r="D24" s="4" t="n"/>
      <c r="E24" s="4" t="n"/>
      <c r="F24" s="4" t="n"/>
      <c r="G24" s="4" t="n"/>
    </row>
    <row r="25">
      <c r="A25" s="9" t="inlineStr">
        <is>
          <t>Cement bags (50 kg)</t>
        </is>
      </c>
      <c r="B25" s="21">
        <f>IF(B22=0,0,ROUNDUP(B21*B17/B22/Assumptions!$B$11,0))</f>
        <v/>
      </c>
    </row>
    <row r="26">
      <c r="A26" s="9" t="inlineStr">
        <is>
          <t>Sand (cu ft)</t>
        </is>
      </c>
      <c r="B26" s="23">
        <f>IF(B22=0,0,B21*B18/B22)</f>
        <v/>
      </c>
    </row>
    <row r="27">
      <c r="A27" s="9" t="inlineStr">
        <is>
          <t>Aggregate (cu ft)</t>
        </is>
      </c>
      <c r="B27" s="23">
        <f>IF(B22=0,0,B21*B19/B22)</f>
        <v/>
      </c>
    </row>
    <row r="29">
      <c r="A29" s="3" t="inlineStr">
        <is>
          <t>COST (₹)</t>
        </is>
      </c>
      <c r="B29" s="4" t="n"/>
      <c r="C29" s="4" t="n"/>
      <c r="D29" s="4" t="n"/>
      <c r="E29" s="4" t="n"/>
      <c r="F29" s="4" t="n"/>
      <c r="G29" s="4" t="n"/>
    </row>
    <row r="30">
      <c r="A30" s="13" t="inlineStr">
        <is>
          <t>Cement</t>
        </is>
      </c>
      <c r="B30" s="24">
        <f>B25*Rates!$C$6</f>
        <v/>
      </c>
    </row>
    <row r="31">
      <c r="A31" s="13" t="inlineStr">
        <is>
          <t>Sand</t>
        </is>
      </c>
      <c r="B31" s="24">
        <f>B26*Rates!$C$7</f>
        <v/>
      </c>
    </row>
    <row r="32">
      <c r="A32" s="13" t="inlineStr">
        <is>
          <t>Aggregate</t>
        </is>
      </c>
      <c r="B32" s="24">
        <f>B27*Rates!$C$8</f>
        <v/>
      </c>
    </row>
    <row r="33">
      <c r="A33" s="13" t="inlineStr">
        <is>
          <t>Labour</t>
        </is>
      </c>
      <c r="B33" s="24">
        <f>F14*Rates!$C$14</f>
        <v/>
      </c>
    </row>
    <row r="34">
      <c r="A34" s="9" t="n"/>
      <c r="B34" s="24">
        <f>SUM(B30:B33)</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9.xml><?xml version="1.0" encoding="utf-8"?>
<worksheet xmlns="http://schemas.openxmlformats.org/spreadsheetml/2006/main">
  <sheetPr>
    <tabColor rgb="002F5D50"/>
    <outlinePr summaryBelow="1" summaryRight="1"/>
    <pageSetUpPr/>
  </sheetPr>
  <dimension ref="A1:G28"/>
  <sheetViews>
    <sheetView showGridLines="0" workbookViewId="0">
      <selection activeCell="A1" sqref="A1"/>
    </sheetView>
  </sheetViews>
  <sheetFormatPr baseColWidth="8" defaultRowHeight="15"/>
  <cols>
    <col width="42" customWidth="1" min="1" max="1"/>
    <col width="16" customWidth="1" min="2" max="2"/>
    <col width="16" customWidth="1" min="3" max="3"/>
    <col width="24" customWidth="1" min="4" max="4"/>
    <col width="16" customWidth="1" min="5" max="5"/>
    <col width="16" customWidth="1" min="6" max="6"/>
    <col width="16" customWidth="1" min="7" max="7"/>
  </cols>
  <sheetData>
    <row r="1">
      <c r="A1" s="1" t="inlineStr">
        <is>
          <t>BRICKS &amp; BLOCKS</t>
        </is>
      </c>
    </row>
    <row r="2">
      <c r="A2" s="2" t="inlineStr">
        <is>
          <t>How many bricks or blocks each wall needs.</t>
        </is>
      </c>
    </row>
    <row r="3">
      <c r="A3" s="38" t="inlineStr">
        <is>
          <t>EXAMPLE RENOVATION: placeholder rates and quantities. These totals are NOT a real estimate.</t>
        </is>
      </c>
    </row>
    <row r="5" ht="34" customHeight="1">
      <c r="A5" s="5" t="inlineStr">
        <is>
          <t>Wall</t>
        </is>
      </c>
      <c r="B5" s="5">
        <f>"Length ("&amp;IF(Setup!$B$9="Metres","m","ft")&amp;")"</f>
        <v/>
      </c>
      <c r="C5" s="5">
        <f>"Height ("&amp;IF(Setup!$B$9="Metres","m","ft")&amp;")"</f>
        <v/>
      </c>
      <c r="D5" s="5">
        <f>"Openings (doors &amp; windows) ("&amp;IF(Setup!$B$9="Metres","sq m","sq ft")&amp;")"</f>
        <v/>
      </c>
      <c r="E5" s="5" t="inlineStr">
        <is>
          <t>Net area (sq ft)</t>
        </is>
      </c>
      <c r="F5" s="5" t="inlineStr">
        <is>
          <t>Thickness (mm)</t>
        </is>
      </c>
      <c r="G5" s="5" t="inlineStr">
        <is>
          <t>Volume (m³)</t>
        </is>
      </c>
    </row>
    <row r="6">
      <c r="A6" s="10" t="n"/>
      <c r="B6" s="11" t="n"/>
      <c r="C6" s="11" t="n"/>
      <c r="D6" s="15">
        <f>'Paint &amp; Tiles'!B47/Setup!$B$18</f>
        <v/>
      </c>
      <c r="E6" s="21">
        <f>MAX(0,B6*C6-D6)*Setup!$B$18</f>
        <v/>
      </c>
      <c r="F6" s="22" t="n"/>
      <c r="G6" s="27">
        <f>E6/10.7639*F6/1000</f>
        <v/>
      </c>
    </row>
    <row r="7">
      <c r="A7" s="10" t="n"/>
      <c r="B7" s="11" t="n"/>
      <c r="C7" s="11" t="n"/>
      <c r="D7" s="15">
        <f>'Paint &amp; Tiles'!B48/Setup!$B$18</f>
        <v/>
      </c>
      <c r="E7" s="21">
        <f>MAX(0,B7*C7-D7)*Setup!$B$18</f>
        <v/>
      </c>
      <c r="F7" s="22" t="n"/>
      <c r="G7" s="27">
        <f>E7/10.7639*F7/1000</f>
        <v/>
      </c>
    </row>
    <row r="8">
      <c r="A8" s="10" t="n"/>
      <c r="B8" s="11" t="n"/>
      <c r="C8" s="11" t="n"/>
      <c r="D8" s="11" t="n"/>
      <c r="E8" s="21">
        <f>MAX(0,B8*C8-D8)*Setup!$B$18</f>
        <v/>
      </c>
      <c r="F8" s="22" t="n"/>
      <c r="G8" s="27">
        <f>E8/10.7639*F8/1000</f>
        <v/>
      </c>
    </row>
    <row r="9">
      <c r="A9" s="10" t="n"/>
      <c r="B9" s="11" t="n"/>
      <c r="C9" s="11" t="n"/>
      <c r="D9" s="11" t="n"/>
      <c r="E9" s="21">
        <f>MAX(0,B9*C9-D9)*Setup!$B$18</f>
        <v/>
      </c>
      <c r="F9" s="22" t="n"/>
      <c r="G9" s="27">
        <f>E9/10.7639*F9/1000</f>
        <v/>
      </c>
    </row>
    <row r="10">
      <c r="A10" s="10" t="n"/>
      <c r="B10" s="11" t="n"/>
      <c r="C10" s="11" t="n"/>
      <c r="D10" s="11" t="n"/>
      <c r="E10" s="21">
        <f>MAX(0,B10*C10-D10)*Setup!$B$18</f>
        <v/>
      </c>
      <c r="F10" s="22" t="n"/>
      <c r="G10" s="27">
        <f>E10/10.7639*F10/1000</f>
        <v/>
      </c>
    </row>
    <row r="11">
      <c r="A11" s="9" t="n"/>
      <c r="E11" s="21">
        <f>SUM(E6:E10)</f>
        <v/>
      </c>
      <c r="G11" s="27">
        <f>SUM(G6:G10)</f>
        <v/>
      </c>
    </row>
    <row r="12">
      <c r="A12" s="13" t="n"/>
    </row>
    <row r="13">
      <c r="A13" s="3" t="n"/>
      <c r="B13" s="4" t="n"/>
      <c r="C13" s="4" t="n"/>
      <c r="D13" s="4" t="n"/>
      <c r="E13" s="4" t="n"/>
      <c r="F13" s="4" t="n"/>
      <c r="G13" s="4" t="n"/>
    </row>
    <row r="14">
      <c r="A14" s="13" t="n"/>
      <c r="B14" s="22" t="n"/>
    </row>
    <row r="15">
      <c r="A15" s="13" t="n"/>
      <c r="B15" s="17" t="n"/>
    </row>
    <row r="16">
      <c r="A16" s="13" t="n"/>
      <c r="B16" s="22" t="n"/>
    </row>
    <row r="17">
      <c r="A17" s="13" t="inlineStr">
        <is>
          <t>AAC block height (mm)</t>
        </is>
      </c>
      <c r="B17" s="22" t="n">
        <v>200</v>
      </c>
    </row>
    <row r="18">
      <c r="A18" s="13" t="inlineStr">
        <is>
          <t>AAC block thickness (mm)</t>
        </is>
      </c>
      <c r="B18" s="22" t="n">
        <v>200</v>
      </c>
    </row>
    <row r="20">
      <c r="A20" s="3" t="inlineStr">
        <is>
          <t>RESULTS</t>
        </is>
      </c>
      <c r="B20" s="4" t="n"/>
      <c r="C20" s="4" t="n"/>
      <c r="D20" s="4" t="n"/>
      <c r="E20" s="4" t="n"/>
      <c r="F20" s="4" t="n"/>
      <c r="G20" s="4" t="n"/>
    </row>
    <row r="21">
      <c r="A21" s="9" t="inlineStr">
        <is>
          <t>Red clay bricks needed (includes breakage)</t>
        </is>
      </c>
      <c r="B21" s="21">
        <f>ROUNDUP(G11*B14*(1+B15),0)</f>
        <v/>
      </c>
    </row>
    <row r="22">
      <c r="A22" s="13" t="inlineStr">
        <is>
          <t>Brick cost (₹)</t>
        </is>
      </c>
      <c r="B22" s="24">
        <f>B21*Rates!$C$9</f>
        <v/>
      </c>
    </row>
    <row r="23">
      <c r="A23" s="9" t="inlineStr">
        <is>
          <t>AAC blocks needed (alternative to bricks)</t>
        </is>
      </c>
      <c r="B23" s="21">
        <f>IF(B16*B17*B18=0,0,ROUNDUP(G11*1000000000/(B16*B17*B18)*(1+B15),0))</f>
        <v/>
      </c>
    </row>
    <row r="24">
      <c r="A24" s="13" t="inlineStr">
        <is>
          <t>AAC block cost (₹)</t>
        </is>
      </c>
      <c r="B24" s="24">
        <f>B23*Rates!$C$10</f>
        <v/>
      </c>
    </row>
    <row r="25">
      <c r="A25" s="13" t="inlineStr">
        <is>
          <t>Masonry labour (₹)</t>
        </is>
      </c>
      <c r="B25" s="24">
        <f>E11*Rates!$C$15</f>
        <v/>
      </c>
    </row>
    <row r="26">
      <c r="A26" s="9" t="inlineStr">
        <is>
          <t>TOTAL MASONRY COST, brick option (₹)</t>
        </is>
      </c>
      <c r="B26" s="24">
        <f>B22+B25</f>
        <v/>
      </c>
    </row>
    <row r="28">
      <c r="A28" s="13" t="inlineStr">
        <is>
          <t>Tip: use bricks or AAC blocks, not both. Mortar is not included.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0.xml><?xml version="1.0" encoding="utf-8"?>
<worksheet xmlns="http://schemas.openxmlformats.org/spreadsheetml/2006/main">
  <sheetPr>
    <tabColor rgb="002F5D50"/>
    <outlinePr summaryBelow="1" summaryRight="1"/>
    <pageSetUpPr/>
  </sheetPr>
  <dimension ref="A1:C29"/>
  <sheetViews>
    <sheetView showGridLines="0" workbookViewId="0">
      <selection activeCell="A1" sqref="A1"/>
    </sheetView>
  </sheetViews>
  <sheetFormatPr baseColWidth="8" defaultRowHeight="15"/>
  <cols>
    <col width="44" customWidth="1" min="1" max="1"/>
    <col width="18" customWidth="1" min="2" max="2"/>
    <col width="40" customWidth="1" min="3" max="3"/>
  </cols>
  <sheetData>
    <row r="1">
      <c r="A1" s="1" t="inlineStr">
        <is>
          <t>PLASTER</t>
        </is>
      </c>
    </row>
    <row r="2">
      <c r="A2" s="2" t="inlineStr">
        <is>
          <t>Cement and sand for plaster on walls and ceilings. Areas come from the Paint &amp; Tiles tab. Assumptions are marked for checking.</t>
        </is>
      </c>
    </row>
    <row r="3">
      <c r="A3" s="38" t="inlineStr">
        <is>
          <t>EXAMPLE RENOVATION: placeholder rates and quantities. These totals are NOT a real estimate.</t>
        </is>
      </c>
    </row>
    <row r="4">
      <c r="A4" s="3" t="inlineStr">
        <is>
          <t>AREA (from Paint &amp; Tiles)</t>
        </is>
      </c>
      <c r="B4" s="4" t="n"/>
      <c r="C4" s="4" t="n"/>
    </row>
    <row r="5">
      <c r="A5" s="13" t="inlineStr">
        <is>
          <t>Wall area to plaster (sq ft)</t>
        </is>
      </c>
      <c r="B5" s="23">
        <f>'Paint &amp; Tiles'!G18</f>
        <v/>
      </c>
    </row>
    <row r="6">
      <c r="A6" s="13" t="inlineStr">
        <is>
          <t>Ceiling area to plaster (sq ft)</t>
        </is>
      </c>
      <c r="B6" s="23">
        <f>'Paint &amp; Tiles'!H18</f>
        <v/>
      </c>
    </row>
    <row r="7">
      <c r="A7" s="9" t="inlineStr">
        <is>
          <t>Total area to plaster (sq ft)</t>
        </is>
      </c>
      <c r="B7" s="23">
        <f>B5+B6</f>
        <v/>
      </c>
    </row>
    <row r="9">
      <c r="A9" s="3" t="inlineStr">
        <is>
          <t>ASSUMPTIONS (confirm with your mason or engineer)</t>
        </is>
      </c>
      <c r="B9" s="4" t="n"/>
      <c r="C9" s="4" t="n"/>
    </row>
    <row r="10">
      <c r="A10" s="13" t="inlineStr">
        <is>
          <t>Plaster thickness (mm)</t>
        </is>
      </c>
      <c r="B10" s="22" t="n">
        <v>12</v>
      </c>
    </row>
    <row r="11">
      <c r="A11" s="13" t="inlineStr">
        <is>
          <t>Dry volume factor (wet to dry)</t>
        </is>
      </c>
      <c r="B11" s="26" t="n">
        <v>1.27</v>
      </c>
    </row>
    <row r="12">
      <c r="A12" s="13" t="inlineStr">
        <is>
          <t>Cement parts</t>
        </is>
      </c>
      <c r="B12" s="22" t="n">
        <v>1</v>
      </c>
    </row>
    <row r="13">
      <c r="A13" s="13" t="inlineStr">
        <is>
          <t>Sand parts</t>
        </is>
      </c>
      <c r="B13" s="22" t="n">
        <v>6</v>
      </c>
    </row>
    <row r="14">
      <c r="A14" s="13" t="inlineStr">
        <is>
          <t>Extra for wastage (%)</t>
        </is>
      </c>
      <c r="B14" s="17" t="n">
        <v>0.1</v>
      </c>
    </row>
    <row r="16">
      <c r="A16" s="3" t="inlineStr">
        <is>
          <t>RESULTS</t>
        </is>
      </c>
      <c r="B16" s="4" t="n"/>
      <c r="C16" s="4" t="n"/>
    </row>
    <row r="17">
      <c r="A17" s="13" t="inlineStr">
        <is>
          <t>Wet volume (cu ft)</t>
        </is>
      </c>
      <c r="B17" s="23">
        <f>B7*B10/304.8</f>
        <v/>
      </c>
    </row>
    <row r="18">
      <c r="A18" s="13" t="inlineStr">
        <is>
          <t>Dry volume incl. wastage (cu ft)</t>
        </is>
      </c>
      <c r="B18" s="23">
        <f>B17*B11*(1+B14)</f>
        <v/>
      </c>
    </row>
    <row r="19">
      <c r="A19" s="9" t="inlineStr">
        <is>
          <t>Cement bags (50 kg)</t>
        </is>
      </c>
      <c r="B19" s="21">
        <f>IF(B12+B13=0,0,ROUNDUP(B18*B12/(B12+B13)/Assumptions!$B$11,0))</f>
        <v/>
      </c>
    </row>
    <row r="20">
      <c r="A20" s="9" t="inlineStr">
        <is>
          <t>Sand (cu ft)</t>
        </is>
      </c>
      <c r="B20" s="23">
        <f>IF(B12+B13=0,0,B18*B13/(B12+B13))</f>
        <v/>
      </c>
    </row>
    <row r="22">
      <c r="A22" s="3" t="inlineStr">
        <is>
          <t>COST (₹)</t>
        </is>
      </c>
      <c r="B22" s="4" t="n"/>
      <c r="C22" s="4" t="n"/>
    </row>
    <row r="23">
      <c r="A23" s="13" t="inlineStr">
        <is>
          <t>Cement</t>
        </is>
      </c>
      <c r="B23" s="24">
        <f>B19*Rates!$C$6</f>
        <v/>
      </c>
    </row>
    <row r="24">
      <c r="A24" s="13" t="inlineStr">
        <is>
          <t>Sand</t>
        </is>
      </c>
      <c r="B24" s="24">
        <f>B20*Rates!$C$7</f>
        <v/>
      </c>
    </row>
    <row r="25">
      <c r="A25" s="9" t="inlineStr">
        <is>
          <t>TOTAL PLASTER MATERIAL COST</t>
        </is>
      </c>
      <c r="B25" s="24">
        <f>B23+B24</f>
        <v/>
      </c>
    </row>
    <row r="26">
      <c r="A26" s="13" t="inlineStr">
        <is>
          <t>Plaster labour (₹)</t>
        </is>
      </c>
      <c r="B26" s="24">
        <f>B7*Rates!$C$19</f>
        <v/>
      </c>
    </row>
    <row r="27">
      <c r="A27" s="13" t="inlineStr">
        <is>
          <t>Plaster labour is included at the rate on the Rates tab. Check the rate with your mason.</t>
        </is>
      </c>
    </row>
    <row r="28">
      <c r="A28" s="13" t="inlineStr">
        <is>
          <t>Wastage is included once here. The Order List does not add more for plaster sand.</t>
        </is>
      </c>
    </row>
    <row r="29">
      <c r="A29" s="13" t="inlineStr">
        <is>
          <t>Area is the interior wall area from Paint &amp; Tiles plus the floor area as ceilings. External wall faces are NOT included.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1.xml><?xml version="1.0" encoding="utf-8"?>
<worksheet xmlns="http://schemas.openxmlformats.org/spreadsheetml/2006/main">
  <sheetPr>
    <tabColor rgb="002F5D50"/>
    <outlinePr summaryBelow="1" summaryRight="1"/>
    <pageSetUpPr/>
  </sheetPr>
  <dimension ref="A1:E16"/>
  <sheetViews>
    <sheetView showGridLines="0" workbookViewId="0">
      <selection activeCell="A1" sqref="A1"/>
    </sheetView>
  </sheetViews>
  <sheetFormatPr baseColWidth="8" defaultRowHeight="15"/>
  <cols>
    <col width="24" customWidth="1" min="1" max="1"/>
    <col width="22" customWidth="1" min="2" max="2"/>
    <col width="18" customWidth="1" min="3" max="3"/>
    <col width="16" customWidth="1" min="4" max="4"/>
    <col width="18" customWidth="1" min="5" max="5"/>
  </cols>
  <sheetData>
    <row r="1">
      <c r="A1" s="1" t="inlineStr">
        <is>
          <t>STEEL</t>
        </is>
      </c>
    </row>
    <row r="2">
      <c r="A2" s="2" t="inlineStr">
        <is>
          <t>Steel weight from bar size and number of bars. Bar length is always in metres.</t>
        </is>
      </c>
    </row>
    <row r="3">
      <c r="A3" s="38" t="inlineStr">
        <is>
          <t>EXAMPLE RENOVATION: placeholder rates and quantities. These totals are NOT a real estimate.</t>
        </is>
      </c>
    </row>
    <row r="5" ht="34" customHeight="1">
      <c r="A5" s="5" t="inlineStr">
        <is>
          <t>Bar diameter (mm)</t>
        </is>
      </c>
      <c r="B5" s="5" t="inlineStr">
        <is>
          <t>Length per bar (m)</t>
        </is>
      </c>
      <c r="C5" s="5" t="inlineStr">
        <is>
          <t>Number of bars</t>
        </is>
      </c>
      <c r="D5" s="5" t="inlineStr">
        <is>
          <t>Weight (kg)</t>
        </is>
      </c>
      <c r="E5" s="5" t="inlineStr">
        <is>
          <t>Weight (tonnes)</t>
        </is>
      </c>
    </row>
    <row r="6">
      <c r="A6" s="22" t="n"/>
      <c r="B6" s="11" t="n"/>
      <c r="C6" s="22" t="n"/>
      <c r="D6" s="23">
        <f>IF(A6="",0,A6^2/Assumptions!$B$21*B6*C6)</f>
        <v/>
      </c>
      <c r="E6" s="42">
        <f>D6/1000</f>
        <v/>
      </c>
    </row>
    <row r="7">
      <c r="A7" s="22" t="n"/>
      <c r="B7" s="11" t="n"/>
      <c r="C7" s="22" t="n"/>
      <c r="D7" s="23">
        <f>IF(A7="",0,A7^2/Assumptions!$B$21*B7*C7)</f>
        <v/>
      </c>
      <c r="E7" s="42">
        <f>D7/1000</f>
        <v/>
      </c>
    </row>
    <row r="8">
      <c r="A8" s="22" t="n"/>
      <c r="B8" s="11" t="n"/>
      <c r="C8" s="22" t="n"/>
      <c r="D8" s="23">
        <f>IF(A8="",0,A8^2/Assumptions!$B$21*B8*C8)</f>
        <v/>
      </c>
      <c r="E8" s="42">
        <f>D8/1000</f>
        <v/>
      </c>
    </row>
    <row r="9">
      <c r="A9" s="22" t="n"/>
      <c r="B9" s="11" t="n"/>
      <c r="C9" s="22" t="n"/>
      <c r="D9" s="23">
        <f>IF(A9="",0,A9^2/Assumptions!$B$21*B9*C9)</f>
        <v/>
      </c>
      <c r="E9" s="42">
        <f>D9/1000</f>
        <v/>
      </c>
    </row>
    <row r="10">
      <c r="A10" s="22" t="n"/>
      <c r="B10" s="11" t="n"/>
      <c r="C10" s="22" t="n"/>
      <c r="D10" s="23">
        <f>IF(A10="",0,A10^2/Assumptions!$B$21*B10*C10)</f>
        <v/>
      </c>
      <c r="E10" s="42">
        <f>D10/1000</f>
        <v/>
      </c>
    </row>
    <row r="11">
      <c r="A11" s="22" t="n"/>
      <c r="B11" s="11" t="n"/>
      <c r="C11" s="22" t="n"/>
      <c r="D11" s="23">
        <f>IF(A11="",0,A11^2/Assumptions!$B$21*B11*C11)</f>
        <v/>
      </c>
      <c r="E11" s="42">
        <f>D11/1000</f>
        <v/>
      </c>
    </row>
    <row r="12">
      <c r="A12" s="9" t="n"/>
      <c r="D12" s="23">
        <f>SUM(D6:D11)</f>
        <v/>
      </c>
      <c r="E12" s="42">
        <f>SUM(E6:E11)</f>
        <v/>
      </c>
    </row>
    <row r="14">
      <c r="A14" s="9" t="n"/>
      <c r="D14" s="24">
        <f>D12*Rates!$C$11</f>
        <v/>
      </c>
    </row>
    <row r="16">
      <c r="A16" s="13" t="n"/>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2.xml><?xml version="1.0" encoding="utf-8"?>
<worksheet xmlns="http://schemas.openxmlformats.org/spreadsheetml/2006/main">
  <sheetPr>
    <tabColor rgb="002F5D50"/>
    <outlinePr summaryBelow="1" summaryRight="1"/>
    <pageSetUpPr/>
  </sheetPr>
  <dimension ref="A1:D25"/>
  <sheetViews>
    <sheetView showGridLines="0" workbookViewId="0">
      <selection activeCell="A1" sqref="A1"/>
    </sheetView>
  </sheetViews>
  <sheetFormatPr baseColWidth="8" defaultRowHeight="15"/>
  <cols>
    <col width="36" customWidth="1" min="1" max="1"/>
    <col width="14" customWidth="1" min="2" max="2"/>
    <col width="26" customWidth="1" min="3" max="3"/>
    <col width="18" customWidth="1" min="4" max="4"/>
  </cols>
  <sheetData>
    <row r="1">
      <c r="A1" s="1" t="inlineStr">
        <is>
          <t>SERVICES</t>
        </is>
      </c>
    </row>
    <row r="2">
      <c r="A2" s="2" t="inlineStr">
        <is>
          <t>Count the points and fittings, then enter a rate per point. Blank counts or rates show zero.</t>
        </is>
      </c>
    </row>
    <row r="3">
      <c r="A3" s="38" t="inlineStr">
        <is>
          <t>EXAMPLE RENOVATION: placeholder rates and quantities. These totals are NOT a real estimate.</t>
        </is>
      </c>
    </row>
    <row r="5" ht="34" customHeight="1">
      <c r="A5" s="5" t="inlineStr">
        <is>
          <t>Item</t>
        </is>
      </c>
      <c r="B5" s="5" t="inlineStr">
        <is>
          <t>Count</t>
        </is>
      </c>
      <c r="C5" s="5" t="inlineStr">
        <is>
          <t>Rate per item (₹, you enter)</t>
        </is>
      </c>
      <c r="D5" s="5" t="inlineStr">
        <is>
          <t>Cost (₹)</t>
        </is>
      </c>
    </row>
    <row r="6">
      <c r="A6" s="13" t="inlineStr">
        <is>
          <t>Water point for WC</t>
        </is>
      </c>
      <c r="B6" s="22" t="n">
        <v>1</v>
      </c>
      <c r="C6" s="12" t="n">
        <v>2500</v>
      </c>
      <c r="D6" s="24">
        <f>IF(OR(B6="",C6=""),0,B6*C6)</f>
        <v/>
      </c>
    </row>
    <row r="7">
      <c r="A7" s="13" t="inlineStr">
        <is>
          <t>Water point for wash basin</t>
        </is>
      </c>
      <c r="B7" s="22" t="n">
        <v>1</v>
      </c>
      <c r="C7" s="12" t="n">
        <v>2500</v>
      </c>
      <c r="D7" s="24">
        <f>IF(OR(B7="",C7=""),0,B7*C7)</f>
        <v/>
      </c>
    </row>
    <row r="8">
      <c r="A8" s="13" t="inlineStr">
        <is>
          <t>Shower point</t>
        </is>
      </c>
      <c r="B8" s="22" t="n">
        <v>1</v>
      </c>
      <c r="C8" s="12" t="n">
        <v>2500</v>
      </c>
      <c r="D8" s="24">
        <f>IF(OR(B8="",C8=""),0,B8*C8)</f>
        <v/>
      </c>
    </row>
    <row r="9">
      <c r="A9" s="13" t="inlineStr">
        <is>
          <t>Kitchen sink point</t>
        </is>
      </c>
      <c r="B9" s="22" t="n">
        <v>0</v>
      </c>
      <c r="C9" s="12" t="n">
        <v>2500</v>
      </c>
      <c r="D9" s="24">
        <f>IF(OR(B9="",C9=""),0,B9*C9)</f>
        <v/>
      </c>
    </row>
    <row r="10">
      <c r="A10" s="13" t="inlineStr">
        <is>
          <t>Washing machine point</t>
        </is>
      </c>
      <c r="B10" s="22" t="n">
        <v>0</v>
      </c>
      <c r="C10" s="12" t="n">
        <v>2500</v>
      </c>
      <c r="D10" s="24">
        <f>IF(OR(B10="",C10=""),0,B10*C10)</f>
        <v/>
      </c>
    </row>
    <row r="11">
      <c r="A11" s="13" t="inlineStr">
        <is>
          <t>Overhead tank connection</t>
        </is>
      </c>
      <c r="B11" s="22" t="n">
        <v>0</v>
      </c>
      <c r="C11" s="12" t="n">
        <v>2500</v>
      </c>
      <c r="D11" s="24">
        <f>IF(OR(B11="",C11=""),0,B11*C11)</f>
        <v/>
      </c>
    </row>
    <row r="12">
      <c r="A12" s="13" t="inlineStr">
        <is>
          <t>Water heater point</t>
        </is>
      </c>
      <c r="B12" s="22" t="n">
        <v>0</v>
      </c>
      <c r="C12" s="12" t="n">
        <v>2500</v>
      </c>
      <c r="D12" s="24">
        <f>IF(OR(B12="",C12=""),0,B12*C12)</f>
        <v/>
      </c>
    </row>
    <row r="13">
      <c r="A13" s="9" t="inlineStr">
        <is>
          <t>PLUMBING TOTAL</t>
        </is>
      </c>
      <c r="D13" s="24">
        <f>SUM(D6:D12)</f>
        <v/>
      </c>
    </row>
    <row r="14">
      <c r="A14" s="9" t="inlineStr">
        <is>
          <t>Electrical points</t>
        </is>
      </c>
    </row>
    <row r="15">
      <c r="A15" s="13" t="inlineStr">
        <is>
          <t>Light points</t>
        </is>
      </c>
      <c r="B15" s="22" t="n">
        <v>8</v>
      </c>
      <c r="C15" s="12" t="n">
        <v>1200</v>
      </c>
      <c r="D15" s="24">
        <f>IF(OR(B15="",C15=""),0,B15*C15)</f>
        <v/>
      </c>
    </row>
    <row r="16">
      <c r="A16" s="13" t="inlineStr">
        <is>
          <t>Fan points</t>
        </is>
      </c>
      <c r="B16" s="22" t="n">
        <v>2</v>
      </c>
      <c r="C16" s="12" t="n">
        <v>1200</v>
      </c>
      <c r="D16" s="24">
        <f>IF(OR(B16="",C16=""),0,B16*C16)</f>
        <v/>
      </c>
    </row>
    <row r="17">
      <c r="A17" s="13" t="inlineStr">
        <is>
          <t>6 A plug points</t>
        </is>
      </c>
      <c r="B17" s="22" t="n">
        <v>6</v>
      </c>
      <c r="C17" s="12" t="n">
        <v>1200</v>
      </c>
      <c r="D17" s="24">
        <f>IF(OR(B17="",C17=""),0,B17*C17)</f>
        <v/>
      </c>
    </row>
    <row r="18">
      <c r="A18" s="13" t="inlineStr">
        <is>
          <t>16 A plug points</t>
        </is>
      </c>
      <c r="B18" s="22" t="n">
        <v>1</v>
      </c>
      <c r="C18" s="12" t="n">
        <v>1200</v>
      </c>
      <c r="D18" s="24">
        <f>IF(OR(B18="",C18=""),0,B18*C18)</f>
        <v/>
      </c>
    </row>
    <row r="19">
      <c r="A19" s="13" t="inlineStr">
        <is>
          <t>AC points</t>
        </is>
      </c>
      <c r="B19" s="22" t="n">
        <v>0</v>
      </c>
      <c r="C19" s="12" t="n">
        <v>1200</v>
      </c>
      <c r="D19" s="24">
        <f>IF(OR(B19="",C19=""),0,B19*C19)</f>
        <v/>
      </c>
    </row>
    <row r="20">
      <c r="A20" s="13" t="inlineStr">
        <is>
          <t>Geyser point</t>
        </is>
      </c>
      <c r="B20" s="22" t="n">
        <v>0</v>
      </c>
      <c r="C20" s="12" t="n">
        <v>1200</v>
      </c>
      <c r="D20" s="24">
        <f>IF(OR(B20="",C20=""),0,B20*C20)</f>
        <v/>
      </c>
    </row>
    <row r="21">
      <c r="A21" s="13" t="inlineStr">
        <is>
          <t>TV or data points</t>
        </is>
      </c>
      <c r="B21" s="22" t="n">
        <v>0</v>
      </c>
      <c r="C21" s="12" t="n">
        <v>1200</v>
      </c>
      <c r="D21" s="24">
        <f>IF(OR(B21="",C21=""),0,B21*C21)</f>
        <v/>
      </c>
    </row>
    <row r="22">
      <c r="A22" s="13" t="inlineStr">
        <is>
          <t>Distribution board</t>
        </is>
      </c>
      <c r="B22" s="22" t="n">
        <v>0</v>
      </c>
      <c r="C22" s="12" t="n">
        <v>1200</v>
      </c>
      <c r="D22" s="24">
        <f>IF(OR(B22="",C22=""),0,B22*C22)</f>
        <v/>
      </c>
    </row>
    <row r="23">
      <c r="A23" s="9" t="inlineStr">
        <is>
          <t>ELECTRICAL TOTAL</t>
        </is>
      </c>
      <c r="D23" s="24">
        <f>SUM(D15:D22)</f>
        <v/>
      </c>
    </row>
    <row r="25">
      <c r="A25" s="13" t="inlineStr">
        <is>
          <t>Pipes, wires and conduits are included in the rate per point if your rate covers them. Confirm with your plumber or electrician.</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3.xml><?xml version="1.0" encoding="utf-8"?>
<worksheet xmlns="http://schemas.openxmlformats.org/spreadsheetml/2006/main">
  <sheetPr>
    <tabColor rgb="002F5D50"/>
    <outlinePr summaryBelow="1" summaryRight="1"/>
    <pageSetUpPr/>
  </sheetPr>
  <dimension ref="A1:H34"/>
  <sheetViews>
    <sheetView showGridLines="0" workbookViewId="0">
      <pane ySplit="5" topLeftCell="A6" activePane="bottomLeft" state="frozen"/>
      <selection pane="bottomLeft" activeCell="A1" sqref="A1"/>
    </sheetView>
  </sheetViews>
  <sheetFormatPr baseColWidth="8" defaultRowHeight="15"/>
  <cols>
    <col width="44" customWidth="1" min="1" max="1"/>
    <col width="10" customWidth="1" min="2" max="2"/>
    <col width="18" customWidth="1" min="3" max="3"/>
    <col width="18" customWidth="1" min="4" max="4"/>
    <col width="18" customWidth="1" min="5" max="5"/>
    <col width="18" customWidth="1" min="6" max="6"/>
    <col width="14" customWidth="1" min="7" max="7"/>
    <col width="32" customWidth="1" min="8" max="8"/>
  </cols>
  <sheetData>
    <row r="1">
      <c r="A1" s="1" t="inlineStr">
        <is>
          <t>COST ESTIMATE</t>
        </is>
      </c>
    </row>
    <row r="2">
      <c r="A2" s="2" t="inlineStr">
        <is>
          <t>Full estimate. Calculator items fill in automatically. Enter the rest yourself and tag each line with a stage.</t>
        </is>
      </c>
    </row>
    <row r="3">
      <c r="A3" s="38" t="inlineStr">
        <is>
          <t>EXAMPLE RENOVATION: placeholder rates and quantities. These totals are NOT a real estimate.</t>
        </is>
      </c>
    </row>
    <row r="5" ht="34" customHeight="1">
      <c r="A5" s="5" t="inlineStr">
        <is>
          <t>Cost item</t>
        </is>
      </c>
      <c r="B5" s="5" t="inlineStr">
        <is>
          <t>Source</t>
        </is>
      </c>
      <c r="C5" s="5" t="inlineStr">
        <is>
          <t>Estimated (₹)</t>
        </is>
      </c>
      <c r="D5" s="5" t="inlineStr">
        <is>
          <t>Actual spent (₹)</t>
        </is>
      </c>
      <c r="E5" s="5" t="inlineStr">
        <is>
          <t>Difference (₹)</t>
        </is>
      </c>
      <c r="F5" s="5" t="inlineStr">
        <is>
          <t>% of estimate spent</t>
        </is>
      </c>
      <c r="G5" s="5" t="inlineStr">
        <is>
          <t>Status</t>
        </is>
      </c>
      <c r="H5" s="5" t="inlineStr">
        <is>
          <t>Stage</t>
        </is>
      </c>
    </row>
    <row r="6">
      <c r="A6" s="9" t="inlineStr">
        <is>
          <t>Site preparation &amp; foundation (excavation, clearing)</t>
        </is>
      </c>
      <c r="B6" s="13" t="inlineStr">
        <is>
          <t>Auto</t>
        </is>
      </c>
      <c r="C6" s="24">
        <f>Earthwork!B22</f>
        <v/>
      </c>
      <c r="D6" s="12" t="n"/>
      <c r="E6" s="24">
        <f>C6-D6</f>
        <v/>
      </c>
      <c r="F6" s="25">
        <f>IF(C6=0,"",D6/C6)</f>
        <v/>
      </c>
      <c r="G6" s="10" t="inlineStr">
        <is>
          <t>Planned</t>
        </is>
      </c>
      <c r="H6" s="10" t="inlineStr">
        <is>
          <t>Site preparation &amp; foundation</t>
        </is>
      </c>
    </row>
    <row r="7">
      <c r="A7" s="9" t="inlineStr">
        <is>
          <t>Concrete &amp; RCC</t>
        </is>
      </c>
      <c r="B7" s="13" t="inlineStr">
        <is>
          <t>Auto</t>
        </is>
      </c>
      <c r="C7" s="24">
        <f>Concrete!B34</f>
        <v/>
      </c>
      <c r="D7" s="12" t="n"/>
      <c r="E7" s="24">
        <f>C7-D7</f>
        <v/>
      </c>
      <c r="F7" s="25">
        <f>IF(C7=0,"",D7/C7)</f>
        <v/>
      </c>
      <c r="G7" s="10" t="inlineStr">
        <is>
          <t>Planned</t>
        </is>
      </c>
      <c r="H7" s="10" t="inlineStr">
        <is>
          <t>Structure (concrete &amp; steel)</t>
        </is>
      </c>
    </row>
    <row r="8">
      <c r="A8" s="9" t="inlineStr">
        <is>
          <t>Steel reinforcement</t>
        </is>
      </c>
      <c r="B8" s="13" t="inlineStr">
        <is>
          <t>Auto</t>
        </is>
      </c>
      <c r="C8" s="24">
        <f>Steel!D14</f>
        <v/>
      </c>
      <c r="D8" s="12" t="n"/>
      <c r="E8" s="24">
        <f>C8-D8</f>
        <v/>
      </c>
      <c r="F8" s="25">
        <f>IF(C8=0,"",D8/C8)</f>
        <v/>
      </c>
      <c r="G8" s="10" t="inlineStr">
        <is>
          <t>Planned</t>
        </is>
      </c>
      <c r="H8" s="10" t="inlineStr">
        <is>
          <t>Structure (concrete &amp; steel)</t>
        </is>
      </c>
    </row>
    <row r="9">
      <c r="A9" s="9" t="inlineStr">
        <is>
          <t>Brickwork &amp; masonry labour</t>
        </is>
      </c>
      <c r="B9" s="13" t="inlineStr">
        <is>
          <t>Auto</t>
        </is>
      </c>
      <c r="C9" s="24">
        <f>'Bricks &amp; Blocks'!B26</f>
        <v/>
      </c>
      <c r="D9" s="12" t="n"/>
      <c r="E9" s="24">
        <f>C9-D9</f>
        <v/>
      </c>
      <c r="F9" s="25">
        <f>IF(C9=0,"",D9/C9)</f>
        <v/>
      </c>
      <c r="G9" s="10" t="inlineStr">
        <is>
          <t>Planned</t>
        </is>
      </c>
      <c r="H9" s="10" t="inlineStr">
        <is>
          <t>Masonry (walls)</t>
        </is>
      </c>
    </row>
    <row r="10">
      <c r="A10" s="9" t="inlineStr">
        <is>
          <t>Plaster (walls and ceilings, materials and labour)</t>
        </is>
      </c>
      <c r="B10" s="13" t="inlineStr">
        <is>
          <t>Auto</t>
        </is>
      </c>
      <c r="C10" s="24">
        <f>Plaster!B25+Plaster!B26</f>
        <v/>
      </c>
      <c r="D10" s="12" t="n"/>
      <c r="E10" s="24">
        <f>C10-D10</f>
        <v/>
      </c>
      <c r="F10" s="25">
        <f>IF(C10=0,"",D10/C10)</f>
        <v/>
      </c>
      <c r="G10" s="10" t="inlineStr">
        <is>
          <t>Planned</t>
        </is>
      </c>
      <c r="H10" s="10" t="inlineStr">
        <is>
          <t>Masonry (walls)</t>
        </is>
      </c>
    </row>
    <row r="11">
      <c r="A11" s="9" t="inlineStr">
        <is>
          <t>Floor tiles (materials and laying labour)</t>
        </is>
      </c>
      <c r="B11" s="13" t="inlineStr">
        <is>
          <t>Auto</t>
        </is>
      </c>
      <c r="C11" s="24">
        <f>'Paint &amp; Tiles'!B42+'Paint &amp; Tiles'!B40*Rates!$C$21</f>
        <v/>
      </c>
      <c r="D11" s="12" t="n"/>
      <c r="E11" s="24">
        <f>C11-D11</f>
        <v/>
      </c>
      <c r="F11" s="25">
        <f>IF(C11=0,"",D11/C11)</f>
        <v/>
      </c>
      <c r="G11" s="10" t="inlineStr">
        <is>
          <t>Planned</t>
        </is>
      </c>
      <c r="H11" s="10" t="inlineStr">
        <is>
          <t>Flooring</t>
        </is>
      </c>
    </row>
    <row r="12">
      <c r="A12" s="9" t="inlineStr">
        <is>
          <t>Interior paint (materials and labour)</t>
        </is>
      </c>
      <c r="B12" s="13" t="inlineStr">
        <is>
          <t>Auto</t>
        </is>
      </c>
      <c r="C12" s="24">
        <f>'Paint &amp; Tiles'!B39+'Paint &amp; Tiles'!G18*Rates!$C$20</f>
        <v/>
      </c>
      <c r="D12" s="12" t="n"/>
      <c r="E12" s="24">
        <f>C12-D12</f>
        <v/>
      </c>
      <c r="F12" s="25">
        <f>IF(C12=0,"",D12/C12)</f>
        <v/>
      </c>
      <c r="G12" s="10" t="inlineStr">
        <is>
          <t>Planned</t>
        </is>
      </c>
      <c r="H12" s="10" t="inlineStr">
        <is>
          <t>Painting</t>
        </is>
      </c>
    </row>
    <row r="13">
      <c r="A13" s="9" t="inlineStr">
        <is>
          <t>External paint (materials and labour)</t>
        </is>
      </c>
      <c r="B13" s="13" t="inlineStr">
        <is>
          <t>Auto</t>
        </is>
      </c>
      <c r="C13" s="24">
        <f>'Exterior &amp; Roof'!B13+'Exterior &amp; Roof'!B14</f>
        <v/>
      </c>
      <c r="D13" s="12" t="n"/>
      <c r="E13" s="24">
        <f>C13-D13</f>
        <v/>
      </c>
      <c r="F13" s="25">
        <f>IF(C13=0,"",D13/C13)</f>
        <v/>
      </c>
      <c r="G13" s="10" t="inlineStr">
        <is>
          <t>Planned</t>
        </is>
      </c>
      <c r="H13" s="10" t="inlineStr">
        <is>
          <t>Painting</t>
        </is>
      </c>
    </row>
    <row r="14">
      <c r="A14" s="9" t="inlineStr">
        <is>
          <t>Doors</t>
        </is>
      </c>
      <c r="B14" s="13" t="inlineStr">
        <is>
          <t>Enter</t>
        </is>
      </c>
      <c r="C14" s="12" t="n"/>
      <c r="D14" s="12" t="n"/>
      <c r="E14" s="24">
        <f>C14-D14</f>
        <v/>
      </c>
      <c r="F14" s="25">
        <f>IF(C14=0,"",D14/C14)</f>
        <v/>
      </c>
      <c r="G14" s="10" t="inlineStr">
        <is>
          <t>Planned</t>
        </is>
      </c>
      <c r="H14" s="10" t="inlineStr">
        <is>
          <t>Doors, windows &amp; fittings</t>
        </is>
      </c>
    </row>
    <row r="15">
      <c r="A15" s="9" t="inlineStr">
        <is>
          <t>Windows</t>
        </is>
      </c>
      <c r="B15" s="13" t="inlineStr">
        <is>
          <t>Enter</t>
        </is>
      </c>
      <c r="C15" s="12" t="n"/>
      <c r="D15" s="12" t="n"/>
      <c r="E15" s="24">
        <f>C15-D15</f>
        <v/>
      </c>
      <c r="F15" s="25">
        <f>IF(C15=0,"",D15/C15)</f>
        <v/>
      </c>
      <c r="G15" s="10" t="inlineStr">
        <is>
          <t>Planned</t>
        </is>
      </c>
      <c r="H15" s="10" t="inlineStr">
        <is>
          <t>Doors, windows &amp; fittings</t>
        </is>
      </c>
    </row>
    <row r="16">
      <c r="A16" s="9" t="inlineStr">
        <is>
          <t>Plumbing fittings and pipes</t>
        </is>
      </c>
      <c r="B16" s="13" t="inlineStr">
        <is>
          <t>Auto</t>
        </is>
      </c>
      <c r="C16" s="24">
        <f>Services!D13</f>
        <v/>
      </c>
      <c r="D16" s="12" t="n"/>
      <c r="E16" s="24">
        <f>C16-D16</f>
        <v/>
      </c>
      <c r="F16" s="25">
        <f>IF(C16=0,"",D16/C16)</f>
        <v/>
      </c>
      <c r="G16" s="10" t="inlineStr">
        <is>
          <t>Planned</t>
        </is>
      </c>
      <c r="H16" s="10" t="inlineStr">
        <is>
          <t>Plumbing &amp; electrical</t>
        </is>
      </c>
    </row>
    <row r="17">
      <c r="A17" s="9" t="inlineStr">
        <is>
          <t>Electrical wiring and fittings</t>
        </is>
      </c>
      <c r="B17" s="13" t="inlineStr">
        <is>
          <t>Auto</t>
        </is>
      </c>
      <c r="C17" s="24">
        <f>Services!D23</f>
        <v/>
      </c>
      <c r="D17" s="12" t="n"/>
      <c r="E17" s="24">
        <f>C17-D17</f>
        <v/>
      </c>
      <c r="F17" s="25">
        <f>IF(C17=0,"",D17/C17)</f>
        <v/>
      </c>
      <c r="G17" s="10" t="inlineStr">
        <is>
          <t>Planned</t>
        </is>
      </c>
      <c r="H17" s="10" t="inlineStr">
        <is>
          <t>Plumbing &amp; electrical</t>
        </is>
      </c>
    </row>
    <row r="18">
      <c r="A18" s="9" t="inlineStr">
        <is>
          <t>Kitchen counter and cabinets</t>
        </is>
      </c>
      <c r="B18" s="13" t="inlineStr">
        <is>
          <t>Enter</t>
        </is>
      </c>
      <c r="C18" s="12" t="n"/>
      <c r="D18" s="12" t="n"/>
      <c r="E18" s="24">
        <f>C18-D18</f>
        <v/>
      </c>
      <c r="F18" s="25">
        <f>IF(C18=0,"",D18/C18)</f>
        <v/>
      </c>
      <c r="G18" s="10" t="inlineStr">
        <is>
          <t>Planned</t>
        </is>
      </c>
      <c r="H18" s="10" t="inlineStr">
        <is>
          <t>Kitchen &amp; bathrooms</t>
        </is>
      </c>
    </row>
    <row r="19">
      <c r="A19" s="9" t="inlineStr">
        <is>
          <t>Sanitaryware and taps</t>
        </is>
      </c>
      <c r="B19" s="13" t="inlineStr">
        <is>
          <t>Enter</t>
        </is>
      </c>
      <c r="C19" s="12" t="n"/>
      <c r="D19" s="12" t="n"/>
      <c r="E19" s="24">
        <f>C19-D19</f>
        <v/>
      </c>
      <c r="F19" s="25">
        <f>IF(C19=0,"",D19/C19)</f>
        <v/>
      </c>
      <c r="G19" s="10" t="inlineStr">
        <is>
          <t>Planned</t>
        </is>
      </c>
      <c r="H19" s="10" t="inlineStr">
        <is>
          <t>Kitchen &amp; bathrooms</t>
        </is>
      </c>
    </row>
    <row r="20">
      <c r="A20" s="9" t="inlineStr">
        <is>
          <t>Waterproofing (bathrooms, kitchen, wet areas)</t>
        </is>
      </c>
      <c r="B20" s="13" t="inlineStr">
        <is>
          <t>Enter</t>
        </is>
      </c>
      <c r="C20" s="12" t="n"/>
      <c r="D20" s="12" t="n"/>
      <c r="E20" s="24">
        <f>C20-D20</f>
        <v/>
      </c>
      <c r="F20" s="25">
        <f>IF(C20=0,"",D20/C20)</f>
        <v/>
      </c>
      <c r="G20" s="10" t="inlineStr">
        <is>
          <t>Planned</t>
        </is>
      </c>
      <c r="H20" s="10" t="inlineStr">
        <is>
          <t>Kitchen &amp; bathrooms</t>
        </is>
      </c>
    </row>
    <row r="21">
      <c r="A21" s="9" t="inlineStr">
        <is>
          <t>Roof waterproofing (flat roof)</t>
        </is>
      </c>
      <c r="B21" s="13" t="inlineStr">
        <is>
          <t>Auto</t>
        </is>
      </c>
      <c r="C21" s="24">
        <f>'Exterior &amp; Roof'!B18</f>
        <v/>
      </c>
      <c r="D21" s="12" t="n"/>
      <c r="E21" s="24">
        <f>C21-D21</f>
        <v/>
      </c>
      <c r="F21" s="25">
        <f>IF(C21=0,"",D21/C21)</f>
        <v/>
      </c>
      <c r="G21" s="10" t="inlineStr">
        <is>
          <t>Planned</t>
        </is>
      </c>
      <c r="H21" s="10" t="inlineStr">
        <is>
          <t>Structure (concrete &amp; steel)</t>
        </is>
      </c>
    </row>
    <row r="22">
      <c r="A22" s="9" t="inlineStr">
        <is>
          <t>General labour (not in calculators)</t>
        </is>
      </c>
      <c r="B22" s="13" t="inlineStr">
        <is>
          <t>Enter</t>
        </is>
      </c>
      <c r="C22" s="12" t="n"/>
      <c r="D22" s="12" t="n"/>
      <c r="E22" s="24">
        <f>C22-D22</f>
        <v/>
      </c>
      <c r="F22" s="25">
        <f>IF(C22=0,"",D22/C22)</f>
        <v/>
      </c>
      <c r="G22" s="10" t="inlineStr">
        <is>
          <t>Planned</t>
        </is>
      </c>
      <c r="H22" s="10" t="inlineStr">
        <is>
          <t>Approvals, fees &amp; other</t>
        </is>
      </c>
    </row>
    <row r="23">
      <c r="A23" s="9" t="inlineStr">
        <is>
          <t>Transport and unloading</t>
        </is>
      </c>
      <c r="B23" s="13" t="inlineStr">
        <is>
          <t>Enter</t>
        </is>
      </c>
      <c r="C23" s="12" t="n"/>
      <c r="D23" s="12" t="n"/>
      <c r="E23" s="24">
        <f>C23-D23</f>
        <v/>
      </c>
      <c r="F23" s="25">
        <f>IF(C23=0,"",D23/C23)</f>
        <v/>
      </c>
      <c r="G23" s="10" t="inlineStr">
        <is>
          <t>Planned</t>
        </is>
      </c>
      <c r="H23" s="10" t="inlineStr">
        <is>
          <t>Approvals, fees &amp; other</t>
        </is>
      </c>
    </row>
    <row r="24">
      <c r="A24" s="9" t="inlineStr">
        <is>
          <t>Approvals and fees (total from Permits tab)</t>
        </is>
      </c>
      <c r="B24" s="13" t="inlineStr">
        <is>
          <t>Auto</t>
        </is>
      </c>
      <c r="C24" s="24">
        <f>Permits!I26</f>
        <v/>
      </c>
      <c r="D24" s="12" t="n"/>
      <c r="E24" s="24">
        <f>C24-D24</f>
        <v/>
      </c>
      <c r="F24" s="25">
        <f>IF(C24=0,"",D24/C24)</f>
        <v/>
      </c>
      <c r="G24" s="10" t="inlineStr">
        <is>
          <t>Planned</t>
        </is>
      </c>
      <c r="H24" s="10" t="inlineStr">
        <is>
          <t>Approvals, fees &amp; other</t>
        </is>
      </c>
    </row>
    <row r="25">
      <c r="A25" s="9" t="inlineStr">
        <is>
          <t>Other</t>
        </is>
      </c>
      <c r="B25" s="13" t="inlineStr">
        <is>
          <t>Enter</t>
        </is>
      </c>
      <c r="C25" s="12" t="n"/>
      <c r="D25" s="12" t="n"/>
      <c r="E25" s="24">
        <f>C25-D25</f>
        <v/>
      </c>
      <c r="F25" s="25">
        <f>IF(C25=0,"",D25/C25)</f>
        <v/>
      </c>
      <c r="G25" s="10" t="inlineStr">
        <is>
          <t>Planned</t>
        </is>
      </c>
      <c r="H25" s="10" t="inlineStr">
        <is>
          <t>Approvals, fees &amp; other</t>
        </is>
      </c>
    </row>
    <row r="26">
      <c r="A26" s="9" t="inlineStr">
        <is>
          <t>SUBTOTAL (before contingency and GST)</t>
        </is>
      </c>
      <c r="C26" s="24">
        <f>SUM(C6:C25)</f>
        <v/>
      </c>
      <c r="D26" s="24">
        <f>SUM(D6:D25)</f>
        <v/>
      </c>
      <c r="E26" s="24">
        <f>C26-D26</f>
        <v/>
      </c>
    </row>
    <row r="27">
      <c r="A27" s="13" t="inlineStr">
        <is>
          <t>Contingency</t>
        </is>
      </c>
      <c r="C27" s="24">
        <f>C26*Setup!$B$12</f>
        <v/>
      </c>
    </row>
    <row r="28">
      <c r="A28" s="13" t="inlineStr">
        <is>
          <t>GST on works</t>
        </is>
      </c>
      <c r="C28" s="24">
        <f>(C26+C27)*Setup!$B$13</f>
        <v/>
      </c>
    </row>
    <row r="29">
      <c r="A29" s="9" t="inlineStr">
        <is>
          <t>TOTAL ESTIMATE</t>
        </is>
      </c>
      <c r="C29" s="24">
        <f>C26+C27+C28</f>
        <v/>
      </c>
      <c r="D29" s="24">
        <f>D26</f>
        <v/>
      </c>
    </row>
    <row r="30">
      <c r="A30" s="13" t="inlineStr">
        <is>
          <t>Target budget</t>
        </is>
      </c>
      <c r="C30" s="24">
        <f>Setup!$B$11</f>
        <v/>
      </c>
    </row>
    <row r="31">
      <c r="A31" s="9" t="inlineStr">
        <is>
          <t>Headroom (positive = under budget)</t>
        </is>
      </c>
      <c r="C31" s="24">
        <f>C30-C29</f>
        <v/>
      </c>
    </row>
    <row r="32">
      <c r="A32" s="13" t="inlineStr">
        <is>
          <t>Cost per sq ft (₹)</t>
        </is>
      </c>
      <c r="C32" s="24">
        <f>IF(Setup!$B$19=0,0,C29/Setup!$B$19)</f>
        <v/>
      </c>
    </row>
    <row r="34">
      <c r="A34" s="13">
        <f>IF(COUNTBLANK(Rates!C6:C21)&gt;0,"Warning: "&amp;COUNTBLANK(Rates!C6:C21)&amp;" rate(s) are blank on the Rates tab, so those costs show as zero.","All rates entered.")</f>
        <v/>
      </c>
    </row>
  </sheetData>
  <sheetProtection selectLockedCells="0" selectUnlockedCells="0" sheet="1" objects="0" insertRows="1" insertHyperlinks="1" autoFilter="1" scenarios="0" formatColumns="0" deleteColumns="1" insertColumns="1" pivotTables="1" deleteRows="1" formatCells="0" formatRows="0" sort="1"/>
  <conditionalFormatting sqref="F6:F25">
    <cfRule type="dataBar" priority="1">
      <dataBar>
        <cfvo type="num" val="0"/>
        <cfvo type="num" val="1"/>
        <color rgb="005B9C86"/>
      </dataBar>
    </cfRule>
  </conditionalFormatting>
  <conditionalFormatting sqref="E6:E25">
    <cfRule type="expression" priority="2" dxfId="0">
      <formula>AND(ISNUMBER($E6),$E6&lt;0)</formula>
    </cfRule>
  </conditionalFormatting>
  <dataValidations count="2">
    <dataValidation sqref="G6 G7 G8 G9 G10 G11 G12 G13 G14 G15 G16 G17 G18 G19 G20 G21 G22 G23 G24 G25" showDropDown="0" showInputMessage="0" showErrorMessage="0" allowBlank="1" type="list">
      <formula1>"Planned,In progress,Done,On hold"</formula1>
    </dataValidation>
    <dataValidation sqref="H6 H7 H8 H9 H10 H11 H12 H13 H14 H15 H16 H17 H18 H19 H20 H21 H22 H23 H24 H25" showDropDown="0" showInputMessage="0" showErrorMessage="0" allowBlank="1" type="list">
      <formula1>"Site preparation &amp; foundation,Structure (concrete &amp; steel),Masonry (walls),Flooring,Painting,Doors, windows &amp; fittings,Plumbing &amp; electrical,Kitchen &amp; bathrooms,Approvals, fees &amp; other"</formula1>
    </dataValidation>
  </dataValidations>
  <pageMargins left="0.75" right="0.75" top="1" bottom="1" header="0.5" footer="0.5"/>
</worksheet>
</file>

<file path=xl/worksheets/sheet14.xml><?xml version="1.0" encoding="utf-8"?>
<worksheet xmlns="http://schemas.openxmlformats.org/spreadsheetml/2006/main">
  <sheetPr>
    <tabColor rgb="002F5D50"/>
    <outlinePr summaryBelow="1" summaryRight="1"/>
    <pageSetUpPr/>
  </sheetPr>
  <dimension ref="A1:G22"/>
  <sheetViews>
    <sheetView showGridLines="0" workbookViewId="0">
      <pane ySplit="5" topLeftCell="A6"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20" customWidth="1" min="6" max="6"/>
    <col width="20" customWidth="1" min="7" max="7"/>
  </cols>
  <sheetData>
    <row r="1">
      <c r="A1" s="1" t="inlineStr">
        <is>
          <t>ROOM COSTS</t>
        </is>
      </c>
    </row>
    <row r="2">
      <c r="A2" s="2" t="inlineStr">
        <is>
          <t>Paint and tile cost for each room. Structure, masonry, plumbing and electrical are not assigned to rooms.</t>
        </is>
      </c>
    </row>
    <row r="3">
      <c r="A3" s="38" t="inlineStr">
        <is>
          <t>EXAMPLE RENOVATION: placeholder rates and quantities. These totals are NOT a real estimate.</t>
        </is>
      </c>
    </row>
    <row r="5" ht="34" customHeight="1">
      <c r="A5" s="5" t="inlineStr">
        <is>
          <t>Room</t>
        </is>
      </c>
      <c r="B5" s="5">
        <f>"Floor area ("&amp;IF(Setup!$B$9="Metres","sq m","sq ft")&amp;")"</f>
        <v/>
      </c>
      <c r="C5" s="5">
        <f>"Net wall area ("&amp;IF(Setup!$B$9="Metres","sq m","sq ft")&amp;")"</f>
        <v/>
      </c>
      <c r="D5" s="5" t="inlineStr">
        <is>
          <t>Paint cost (₹)</t>
        </is>
      </c>
      <c r="E5" s="5" t="inlineStr">
        <is>
          <t>Tile cost (₹)</t>
        </is>
      </c>
      <c r="F5" s="5" t="inlineStr">
        <is>
          <t>Paint and tiles (₹)</t>
        </is>
      </c>
      <c r="G5" s="5" t="inlineStr">
        <is>
          <t>Share of paint and tiles</t>
        </is>
      </c>
    </row>
    <row r="6">
      <c r="A6" s="6">
        <f>'Paint &amp; Tiles'!A6</f>
        <v/>
      </c>
      <c r="B6" s="23">
        <f>'Paint &amp; Tiles'!H6</f>
        <v/>
      </c>
      <c r="C6" s="23">
        <f>'Paint &amp; Tiles'!G6</f>
        <v/>
      </c>
      <c r="D6" s="24">
        <f>C6*'Paint &amp; Tiles'!$B$27/'Paint &amp; Tiles'!$B$28*(1+'Paint &amp; Tiles'!$B$29)*Rates!$C$12</f>
        <v/>
      </c>
      <c r="E6" s="24">
        <f>B6*(1+'Paint &amp; Tiles'!$B$34)*Rates!$C$13</f>
        <v/>
      </c>
      <c r="F6" s="24">
        <f>D6+E6</f>
        <v/>
      </c>
      <c r="G6" s="25">
        <f>IF($F$20=0,"",F6/$F$20)</f>
        <v/>
      </c>
    </row>
    <row r="7">
      <c r="A7" s="6">
        <f>'Paint &amp; Tiles'!A7</f>
        <v/>
      </c>
      <c r="B7" s="23">
        <f>'Paint &amp; Tiles'!H7</f>
        <v/>
      </c>
      <c r="C7" s="23">
        <f>'Paint &amp; Tiles'!G7</f>
        <v/>
      </c>
      <c r="D7" s="24">
        <f>C7*'Paint &amp; Tiles'!$B$27/'Paint &amp; Tiles'!$B$28*(1+'Paint &amp; Tiles'!$B$29)*Rates!$C$12</f>
        <v/>
      </c>
      <c r="E7" s="24">
        <f>B7*(1+'Paint &amp; Tiles'!$B$34)*Rates!$C$13</f>
        <v/>
      </c>
      <c r="F7" s="24">
        <f>D7+E7</f>
        <v/>
      </c>
      <c r="G7" s="25">
        <f>IF($F$20=0,"",F7/$F$20)</f>
        <v/>
      </c>
    </row>
    <row r="8">
      <c r="A8" s="6">
        <f>'Paint &amp; Tiles'!A8</f>
        <v/>
      </c>
      <c r="B8" s="23">
        <f>'Paint &amp; Tiles'!H8</f>
        <v/>
      </c>
      <c r="C8" s="23">
        <f>'Paint &amp; Tiles'!G8</f>
        <v/>
      </c>
      <c r="D8" s="24">
        <f>C8*'Paint &amp; Tiles'!$B$27/'Paint &amp; Tiles'!$B$28*(1+'Paint &amp; Tiles'!$B$29)*Rates!$C$12</f>
        <v/>
      </c>
      <c r="E8" s="24">
        <f>B8*(1+'Paint &amp; Tiles'!$B$34)*Rates!$C$13</f>
        <v/>
      </c>
      <c r="F8" s="24">
        <f>D8+E8</f>
        <v/>
      </c>
      <c r="G8" s="25">
        <f>IF($F$20=0,"",F8/$F$20)</f>
        <v/>
      </c>
    </row>
    <row r="9">
      <c r="A9" s="6">
        <f>'Paint &amp; Tiles'!A9</f>
        <v/>
      </c>
      <c r="B9" s="23">
        <f>'Paint &amp; Tiles'!H9</f>
        <v/>
      </c>
      <c r="C9" s="23">
        <f>'Paint &amp; Tiles'!G9</f>
        <v/>
      </c>
      <c r="D9" s="24">
        <f>C9*'Paint &amp; Tiles'!$B$27/'Paint &amp; Tiles'!$B$28*(1+'Paint &amp; Tiles'!$B$29)*Rates!$C$12</f>
        <v/>
      </c>
      <c r="E9" s="24">
        <f>B9*(1+'Paint &amp; Tiles'!$B$34)*Rates!$C$13</f>
        <v/>
      </c>
      <c r="F9" s="24">
        <f>D9+E9</f>
        <v/>
      </c>
      <c r="G9" s="25">
        <f>IF($F$20=0,"",F9/$F$20)</f>
        <v/>
      </c>
    </row>
    <row r="10">
      <c r="A10" s="6">
        <f>'Paint &amp; Tiles'!A10</f>
        <v/>
      </c>
      <c r="B10" s="23">
        <f>'Paint &amp; Tiles'!H10</f>
        <v/>
      </c>
      <c r="C10" s="23">
        <f>'Paint &amp; Tiles'!G10</f>
        <v/>
      </c>
      <c r="D10" s="24">
        <f>C10*'Paint &amp; Tiles'!$B$27/'Paint &amp; Tiles'!$B$28*(1+'Paint &amp; Tiles'!$B$29)*Rates!$C$12</f>
        <v/>
      </c>
      <c r="E10" s="24">
        <f>B10*(1+'Paint &amp; Tiles'!$B$34)*Rates!$C$13</f>
        <v/>
      </c>
      <c r="F10" s="24">
        <f>D10+E10</f>
        <v/>
      </c>
      <c r="G10" s="25">
        <f>IF($F$20=0,"",F10/$F$20)</f>
        <v/>
      </c>
    </row>
    <row r="11">
      <c r="A11" s="6">
        <f>'Paint &amp; Tiles'!A11</f>
        <v/>
      </c>
      <c r="B11" s="23">
        <f>'Paint &amp; Tiles'!H11</f>
        <v/>
      </c>
      <c r="C11" s="23">
        <f>'Paint &amp; Tiles'!G11</f>
        <v/>
      </c>
      <c r="D11" s="24">
        <f>C11*'Paint &amp; Tiles'!$B$27/'Paint &amp; Tiles'!$B$28*(1+'Paint &amp; Tiles'!$B$29)*Rates!$C$12</f>
        <v/>
      </c>
      <c r="E11" s="24">
        <f>B11*(1+'Paint &amp; Tiles'!$B$34)*Rates!$C$13</f>
        <v/>
      </c>
      <c r="F11" s="24">
        <f>D11+E11</f>
        <v/>
      </c>
      <c r="G11" s="25">
        <f>IF($F$20=0,"",F11/$F$20)</f>
        <v/>
      </c>
    </row>
    <row r="12">
      <c r="A12" s="6">
        <f>'Paint &amp; Tiles'!A12</f>
        <v/>
      </c>
      <c r="B12" s="23">
        <f>'Paint &amp; Tiles'!H12</f>
        <v/>
      </c>
      <c r="C12" s="23">
        <f>'Paint &amp; Tiles'!G12</f>
        <v/>
      </c>
      <c r="D12" s="24">
        <f>C12*'Paint &amp; Tiles'!$B$27/'Paint &amp; Tiles'!$B$28*(1+'Paint &amp; Tiles'!$B$29)*Rates!$C$12</f>
        <v/>
      </c>
      <c r="E12" s="24">
        <f>B12*(1+'Paint &amp; Tiles'!$B$34)*Rates!$C$13</f>
        <v/>
      </c>
      <c r="F12" s="24">
        <f>D12+E12</f>
        <v/>
      </c>
      <c r="G12" s="25">
        <f>IF($F$20=0,"",F12/$F$20)</f>
        <v/>
      </c>
    </row>
    <row r="13">
      <c r="A13" s="6">
        <f>'Paint &amp; Tiles'!A13</f>
        <v/>
      </c>
      <c r="B13" s="23">
        <f>'Paint &amp; Tiles'!H13</f>
        <v/>
      </c>
      <c r="C13" s="23">
        <f>'Paint &amp; Tiles'!G13</f>
        <v/>
      </c>
      <c r="D13" s="24">
        <f>C13*'Paint &amp; Tiles'!$B$27/'Paint &amp; Tiles'!$B$28*(1+'Paint &amp; Tiles'!$B$29)*Rates!$C$12</f>
        <v/>
      </c>
      <c r="E13" s="24">
        <f>B13*(1+'Paint &amp; Tiles'!$B$34)*Rates!$C$13</f>
        <v/>
      </c>
      <c r="F13" s="24">
        <f>D13+E13</f>
        <v/>
      </c>
      <c r="G13" s="25">
        <f>IF($F$20=0,"",F13/$F$20)</f>
        <v/>
      </c>
    </row>
    <row r="14">
      <c r="A14" s="6">
        <f>'Paint &amp; Tiles'!A14</f>
        <v/>
      </c>
      <c r="B14" s="23">
        <f>'Paint &amp; Tiles'!H14</f>
        <v/>
      </c>
      <c r="C14" s="23">
        <f>'Paint &amp; Tiles'!G14</f>
        <v/>
      </c>
      <c r="D14" s="24">
        <f>C14*'Paint &amp; Tiles'!$B$27/'Paint &amp; Tiles'!$B$28*(1+'Paint &amp; Tiles'!$B$29)*Rates!$C$12</f>
        <v/>
      </c>
      <c r="E14" s="24">
        <f>B14*(1+'Paint &amp; Tiles'!$B$34)*Rates!$C$13</f>
        <v/>
      </c>
      <c r="F14" s="24">
        <f>D14+E14</f>
        <v/>
      </c>
      <c r="G14" s="25">
        <f>IF($F$20=0,"",F14/$F$20)</f>
        <v/>
      </c>
    </row>
    <row r="15">
      <c r="A15" s="6">
        <f>'Paint &amp; Tiles'!A15</f>
        <v/>
      </c>
      <c r="B15" s="23">
        <f>'Paint &amp; Tiles'!H15</f>
        <v/>
      </c>
      <c r="C15" s="23">
        <f>'Paint &amp; Tiles'!G15</f>
        <v/>
      </c>
      <c r="D15" s="24">
        <f>C15*'Paint &amp; Tiles'!$B$27/'Paint &amp; Tiles'!$B$28*(1+'Paint &amp; Tiles'!$B$29)*Rates!$C$12</f>
        <v/>
      </c>
      <c r="E15" s="24">
        <f>B15*(1+'Paint &amp; Tiles'!$B$34)*Rates!$C$13</f>
        <v/>
      </c>
      <c r="F15" s="24">
        <f>D15+E15</f>
        <v/>
      </c>
      <c r="G15" s="25">
        <f>IF($F$20=0,"",F15/$F$20)</f>
        <v/>
      </c>
    </row>
    <row r="16">
      <c r="A16" s="6">
        <f>'Paint &amp; Tiles'!A16</f>
        <v/>
      </c>
      <c r="B16" s="23">
        <f>'Paint &amp; Tiles'!H16</f>
        <v/>
      </c>
      <c r="C16" s="23">
        <f>'Paint &amp; Tiles'!G16</f>
        <v/>
      </c>
      <c r="D16" s="24">
        <f>C16*'Paint &amp; Tiles'!$B$27/'Paint &amp; Tiles'!$B$28*(1+'Paint &amp; Tiles'!$B$29)*Rates!$C$12</f>
        <v/>
      </c>
      <c r="E16" s="24">
        <f>B16*(1+'Paint &amp; Tiles'!$B$34)*Rates!$C$13</f>
        <v/>
      </c>
      <c r="F16" s="24">
        <f>D16+E16</f>
        <v/>
      </c>
      <c r="G16" s="25">
        <f>IF($F$20=0,"",F16/$F$20)</f>
        <v/>
      </c>
    </row>
    <row r="17">
      <c r="A17" s="6">
        <f>'Paint &amp; Tiles'!A17</f>
        <v/>
      </c>
      <c r="B17" s="23">
        <f>'Paint &amp; Tiles'!H17</f>
        <v/>
      </c>
      <c r="C17" s="23">
        <f>'Paint &amp; Tiles'!G17</f>
        <v/>
      </c>
      <c r="D17" s="24">
        <f>C17*'Paint &amp; Tiles'!$B$27/'Paint &amp; Tiles'!$B$28*(1+'Paint &amp; Tiles'!$B$29)*Rates!$C$12</f>
        <v/>
      </c>
      <c r="E17" s="24">
        <f>B17*(1+'Paint &amp; Tiles'!$B$34)*Rates!$C$13</f>
        <v/>
      </c>
      <c r="F17" s="24">
        <f>D17+E17</f>
        <v/>
      </c>
      <c r="G17" s="25">
        <f>IF($F$20=0,"",F17/$F$20)</f>
        <v/>
      </c>
    </row>
    <row r="20">
      <c r="A20" s="9" t="inlineStr">
        <is>
          <t>TOTAL</t>
        </is>
      </c>
      <c r="B20" s="23">
        <f>SUM(B6:B17)</f>
        <v/>
      </c>
      <c r="C20" s="23">
        <f>SUM(C6:C17)</f>
        <v/>
      </c>
      <c r="D20" s="24">
        <f>SUM(D6:D17)</f>
        <v/>
      </c>
      <c r="E20" s="24">
        <f>SUM(E6:E17)</f>
        <v/>
      </c>
      <c r="F20" s="24">
        <f>SUM(F6:F17)</f>
        <v/>
      </c>
    </row>
    <row r="22">
      <c r="A22" s="13" t="inlineStr">
        <is>
          <t>Room figures are unrounded estimates. Paint &amp; Tiles rounds up to whole litres and tiles, so the totals can differ slightly.</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15.xml><?xml version="1.0" encoding="utf-8"?>
<worksheet xmlns="http://schemas.openxmlformats.org/spreadsheetml/2006/main">
  <sheetPr>
    <tabColor rgb="002F5D50"/>
    <outlinePr summaryBelow="1" summaryRight="1"/>
    <pageSetUpPr/>
  </sheetPr>
  <dimension ref="A1:H19"/>
  <sheetViews>
    <sheetView showGridLines="0" workbookViewId="0">
      <pane ySplit="5" topLeftCell="A6" activePane="bottomLeft" state="frozen"/>
      <selection pane="bottomLeft" activeCell="A1" sqref="A1"/>
    </sheetView>
  </sheetViews>
  <sheetFormatPr baseColWidth="8" defaultRowHeight="15"/>
  <cols>
    <col width="34" customWidth="1" min="1" max="1"/>
    <col width="22" customWidth="1" min="2" max="2"/>
    <col width="14" customWidth="1" min="3" max="3"/>
    <col width="14" customWidth="1" min="4" max="4"/>
    <col width="18" customWidth="1" min="5" max="5"/>
    <col width="18" customWidth="1" min="6" max="6"/>
    <col width="22" customWidth="1" min="7" max="7"/>
    <col width="18" customWidth="1" min="8" max="8"/>
  </cols>
  <sheetData>
    <row r="1">
      <c r="A1" s="1" t="inlineStr">
        <is>
          <t>STAGE BUDGET</t>
        </is>
      </c>
    </row>
    <row r="2">
      <c r="A2" s="2" t="inlineStr">
        <is>
          <t>Costs grouped by build stage. Set a target share for each stage and see where you stand.</t>
        </is>
      </c>
    </row>
    <row r="3">
      <c r="A3" s="38" t="inlineStr">
        <is>
          <t>EXAMPLE RENOVATION: placeholder rates and quantities. These totals are NOT a real estimate.</t>
        </is>
      </c>
    </row>
    <row r="5" ht="34" customHeight="1">
      <c r="A5" s="5" t="inlineStr">
        <is>
          <t>Stage</t>
        </is>
      </c>
      <c r="B5" s="5" t="inlineStr">
        <is>
          <t>Estimated (₹, before contingency &amp; GST)</t>
        </is>
      </c>
      <c r="C5" s="5" t="inlineStr">
        <is>
          <t>Share of estimate</t>
        </is>
      </c>
      <c r="D5" s="5" t="inlineStr">
        <is>
          <t>Target share (%)</t>
        </is>
      </c>
      <c r="E5" s="5" t="inlineStr">
        <is>
          <t>Target (₹)</t>
        </is>
      </c>
      <c r="F5" s="5" t="inlineStr">
        <is>
          <t>Actual spent (₹)</t>
        </is>
      </c>
      <c r="G5" s="5" t="inlineStr">
        <is>
          <t>Room left (₹)  (+ within target)</t>
        </is>
      </c>
      <c r="H5" s="5" t="inlineStr">
        <is>
          <t>Status</t>
        </is>
      </c>
    </row>
    <row r="6">
      <c r="A6" s="9" t="inlineStr">
        <is>
          <t>Site preparation &amp; foundation</t>
        </is>
      </c>
      <c r="B6" s="24">
        <f>SUMIF('Cost Estimate'!$H$6:$H$25,A6,'Cost Estimate'!$C$6:$C$25)</f>
        <v/>
      </c>
      <c r="C6" s="25">
        <f>IF($B$15=0,0,B6/$B$15)</f>
        <v/>
      </c>
      <c r="D6" s="17" t="n">
        <v>0.08</v>
      </c>
      <c r="E6" s="24">
        <f>D6*Setup!$B$11</f>
        <v/>
      </c>
      <c r="F6" s="24">
        <f>SUMIF('Cost Estimate'!$H$6:$H$25,A6,'Cost Estimate'!$D$6:$D$25)</f>
        <v/>
      </c>
      <c r="G6" s="24">
        <f>E6-B6</f>
        <v/>
      </c>
      <c r="H6" s="6">
        <f>IF(E6=0,"Set a target share",IF(B6&gt;E6,"Over target","Within target"))</f>
        <v/>
      </c>
    </row>
    <row r="7">
      <c r="A7" s="9" t="inlineStr">
        <is>
          <t>Structure (concrete &amp; steel)</t>
        </is>
      </c>
      <c r="B7" s="24">
        <f>SUMIF('Cost Estimate'!$H$6:$H$25,A7,'Cost Estimate'!$C$6:$C$25)</f>
        <v/>
      </c>
      <c r="C7" s="25">
        <f>IF($B$15=0,0,B7/$B$15)</f>
        <v/>
      </c>
      <c r="D7" s="17" t="n">
        <v>0.3</v>
      </c>
      <c r="E7" s="24">
        <f>D7*Setup!$B$11</f>
        <v/>
      </c>
      <c r="F7" s="24">
        <f>SUMIF('Cost Estimate'!$H$6:$H$25,A7,'Cost Estimate'!$D$6:$D$25)</f>
        <v/>
      </c>
      <c r="G7" s="24">
        <f>E7-B7</f>
        <v/>
      </c>
      <c r="H7" s="6">
        <f>IF(E7=0,"Set a target share",IF(B7&gt;E7,"Over target","Within target"))</f>
        <v/>
      </c>
    </row>
    <row r="8">
      <c r="A8" s="9" t="inlineStr">
        <is>
          <t>Masonry (walls)</t>
        </is>
      </c>
      <c r="B8" s="24">
        <f>SUMIF('Cost Estimate'!$H$6:$H$25,A8,'Cost Estimate'!$C$6:$C$25)</f>
        <v/>
      </c>
      <c r="C8" s="25">
        <f>IF($B$15=0,0,B8/$B$15)</f>
        <v/>
      </c>
      <c r="D8" s="17" t="n">
        <v>0.15</v>
      </c>
      <c r="E8" s="24">
        <f>D8*Setup!$B$11</f>
        <v/>
      </c>
      <c r="F8" s="24">
        <f>SUMIF('Cost Estimate'!$H$6:$H$25,A8,'Cost Estimate'!$D$6:$D$25)</f>
        <v/>
      </c>
      <c r="G8" s="24">
        <f>E8-B8</f>
        <v/>
      </c>
      <c r="H8" s="6">
        <f>IF(E8=0,"Set a target share",IF(B8&gt;E8,"Over target","Within target"))</f>
        <v/>
      </c>
    </row>
    <row r="9">
      <c r="A9" s="9" t="inlineStr">
        <is>
          <t>Flooring</t>
        </is>
      </c>
      <c r="B9" s="24">
        <f>SUMIF('Cost Estimate'!$H$6:$H$25,A9,'Cost Estimate'!$C$6:$C$25)</f>
        <v/>
      </c>
      <c r="C9" s="25">
        <f>IF($B$15=0,0,B9/$B$15)</f>
        <v/>
      </c>
      <c r="D9" s="17" t="n">
        <v>0.08</v>
      </c>
      <c r="E9" s="24">
        <f>D9*Setup!$B$11</f>
        <v/>
      </c>
      <c r="F9" s="24">
        <f>SUMIF('Cost Estimate'!$H$6:$H$25,A9,'Cost Estimate'!$D$6:$D$25)</f>
        <v/>
      </c>
      <c r="G9" s="24">
        <f>E9-B9</f>
        <v/>
      </c>
      <c r="H9" s="6">
        <f>IF(E9=0,"Set a target share",IF(B9&gt;E9,"Over target","Within target"))</f>
        <v/>
      </c>
    </row>
    <row r="10">
      <c r="A10" s="9" t="inlineStr">
        <is>
          <t>Painting</t>
        </is>
      </c>
      <c r="B10" s="24">
        <f>SUMIF('Cost Estimate'!$H$6:$H$25,A10,'Cost Estimate'!$C$6:$C$25)</f>
        <v/>
      </c>
      <c r="C10" s="25">
        <f>IF($B$15=0,0,B10/$B$15)</f>
        <v/>
      </c>
      <c r="D10" s="17" t="n">
        <v>0.07000000000000001</v>
      </c>
      <c r="E10" s="24">
        <f>D10*Setup!$B$11</f>
        <v/>
      </c>
      <c r="F10" s="24">
        <f>SUMIF('Cost Estimate'!$H$6:$H$25,A10,'Cost Estimate'!$D$6:$D$25)</f>
        <v/>
      </c>
      <c r="G10" s="24">
        <f>E10-B10</f>
        <v/>
      </c>
      <c r="H10" s="6">
        <f>IF(E10=0,"Set a target share",IF(B10&gt;E10,"Over target","Within target"))</f>
        <v/>
      </c>
    </row>
    <row r="11">
      <c r="A11" s="9" t="inlineStr">
        <is>
          <t>Doors, windows &amp; fittings</t>
        </is>
      </c>
      <c r="B11" s="24">
        <f>SUMIF('Cost Estimate'!$H$6:$H$25,A11,'Cost Estimate'!$C$6:$C$25)</f>
        <v/>
      </c>
      <c r="C11" s="25">
        <f>IF($B$15=0,0,B11/$B$15)</f>
        <v/>
      </c>
      <c r="D11" s="17" t="n">
        <v>0.07000000000000001</v>
      </c>
      <c r="E11" s="24">
        <f>D11*Setup!$B$11</f>
        <v/>
      </c>
      <c r="F11" s="24">
        <f>SUMIF('Cost Estimate'!$H$6:$H$25,A11,'Cost Estimate'!$D$6:$D$25)</f>
        <v/>
      </c>
      <c r="G11" s="24">
        <f>E11-B11</f>
        <v/>
      </c>
      <c r="H11" s="6">
        <f>IF(E11=0,"Set a target share",IF(B11&gt;E11,"Over target","Within target"))</f>
        <v/>
      </c>
    </row>
    <row r="12">
      <c r="A12" s="9" t="inlineStr">
        <is>
          <t>Plumbing &amp; electrical</t>
        </is>
      </c>
      <c r="B12" s="24">
        <f>SUMIF('Cost Estimate'!$H$6:$H$25,A12,'Cost Estimate'!$C$6:$C$25)</f>
        <v/>
      </c>
      <c r="C12" s="25">
        <f>IF($B$15=0,0,B12/$B$15)</f>
        <v/>
      </c>
      <c r="D12" s="17" t="n">
        <v>0.12</v>
      </c>
      <c r="E12" s="24">
        <f>D12*Setup!$B$11</f>
        <v/>
      </c>
      <c r="F12" s="24">
        <f>SUMIF('Cost Estimate'!$H$6:$H$25,A12,'Cost Estimate'!$D$6:$D$25)</f>
        <v/>
      </c>
      <c r="G12" s="24">
        <f>E12-B12</f>
        <v/>
      </c>
      <c r="H12" s="6">
        <f>IF(E12=0,"Set a target share",IF(B12&gt;E12,"Over target","Within target"))</f>
        <v/>
      </c>
    </row>
    <row r="13">
      <c r="A13" s="9" t="inlineStr">
        <is>
          <t>Kitchen &amp; bathrooms</t>
        </is>
      </c>
      <c r="B13" s="24">
        <f>SUMIF('Cost Estimate'!$H$6:$H$25,A13,'Cost Estimate'!$C$6:$C$25)</f>
        <v/>
      </c>
      <c r="C13" s="25">
        <f>IF($B$15=0,0,B13/$B$15)</f>
        <v/>
      </c>
      <c r="D13" s="17" t="n">
        <v>0.08</v>
      </c>
      <c r="E13" s="24">
        <f>D13*Setup!$B$11</f>
        <v/>
      </c>
      <c r="F13" s="24">
        <f>SUMIF('Cost Estimate'!$H$6:$H$25,A13,'Cost Estimate'!$D$6:$D$25)</f>
        <v/>
      </c>
      <c r="G13" s="24">
        <f>E13-B13</f>
        <v/>
      </c>
      <c r="H13" s="6">
        <f>IF(E13=0,"Set a target share",IF(B13&gt;E13,"Over target","Within target"))</f>
        <v/>
      </c>
    </row>
    <row r="14">
      <c r="A14" s="9" t="inlineStr">
        <is>
          <t>Approvals, fees &amp; other</t>
        </is>
      </c>
      <c r="B14" s="24">
        <f>SUMIF('Cost Estimate'!$H$6:$H$25,A14,'Cost Estimate'!$C$6:$C$25)</f>
        <v/>
      </c>
      <c r="C14" s="25">
        <f>IF($B$15=0,0,B14/$B$15)</f>
        <v/>
      </c>
      <c r="D14" s="17" t="n">
        <v>0.05</v>
      </c>
      <c r="E14" s="24">
        <f>D14*Setup!$B$11</f>
        <v/>
      </c>
      <c r="F14" s="24">
        <f>SUMIF('Cost Estimate'!$H$6:$H$25,A14,'Cost Estimate'!$D$6:$D$25)</f>
        <v/>
      </c>
      <c r="G14" s="24">
        <f>E14-B14</f>
        <v/>
      </c>
      <c r="H14" s="6">
        <f>IF(E14=0,"Set a target share",IF(B14&gt;E14,"Over target","Within target"))</f>
        <v/>
      </c>
    </row>
    <row r="15">
      <c r="A15" s="9" t="inlineStr">
        <is>
          <t>TOTAL</t>
        </is>
      </c>
      <c r="B15" s="24">
        <f>SUM(B6:B14)</f>
        <v/>
      </c>
      <c r="C15" s="25">
        <f>SUM(C6:C14)</f>
        <v/>
      </c>
      <c r="D15" s="25">
        <f>SUM(D6:D14)</f>
        <v/>
      </c>
      <c r="E15" s="24">
        <f>SUM(E6:E14)</f>
        <v/>
      </c>
      <c r="F15" s="24">
        <f>SUM(F6:F14)</f>
        <v/>
      </c>
      <c r="G15" s="24">
        <f>E15-B15</f>
        <v/>
      </c>
    </row>
    <row r="17">
      <c r="A17" s="13">
        <f>IF(ROUND(B15-'Cost Estimate'!C26,0)=0,"Check: every cost is assigned to a stage.","Warning: some costs have no stage. Check the Stage column on Cost Estimate.")</f>
        <v/>
      </c>
    </row>
    <row r="18">
      <c r="A18" s="13" t="inlineStr">
        <is>
          <t>Target shares should add up to 100%. The shares shown are examples only. Set your own to match your plan.</t>
        </is>
      </c>
    </row>
    <row r="19">
      <c r="A19" s="13">
        <f>IF(ROUND(D15,4)=1,"Target shares add up to 100%.","Warning: target shares add up to "&amp;TEXT(D15,"0%")&amp;". Adjust them to 100%.")</f>
        <v/>
      </c>
    </row>
  </sheetData>
  <sheetProtection selectLockedCells="0" selectUnlockedCells="0" sheet="1" objects="0" insertRows="1" insertHyperlinks="1" autoFilter="1" scenarios="0" formatColumns="0" deleteColumns="1" insertColumns="1" pivotTables="1" deleteRows="1" formatCells="0" formatRows="0" sort="1"/>
  <conditionalFormatting sqref="C6:C14">
    <cfRule type="dataBar" priority="1">
      <dataBar>
        <cfvo type="num" val="0"/>
        <cfvo type="num" val="1"/>
        <color rgb="005B9C86"/>
      </dataBar>
    </cfRule>
  </conditionalFormatting>
  <conditionalFormatting sqref="H6:H14">
    <cfRule type="expression" priority="2" dxfId="0">
      <formula>$H6="Over target"</formula>
    </cfRule>
    <cfRule type="expression" priority="3" dxfId="1">
      <formula>$H6="Within target"</formula>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tabColor rgb="002F5D50"/>
    <outlinePr summaryBelow="1" summaryRight="1"/>
    <pageSetUpPr/>
  </sheetPr>
  <dimension ref="A1:F46"/>
  <sheetViews>
    <sheetView showGridLines="0" workbookViewId="0">
      <pane ySplit="5" topLeftCell="A6" activePane="bottomLeft" state="frozen"/>
      <selection pane="bottomLeft" activeCell="A1" sqref="A1"/>
    </sheetView>
  </sheetViews>
  <sheetFormatPr baseColWidth="8" defaultRowHeight="15"/>
  <cols>
    <col width="30" customWidth="1" min="1" max="1"/>
    <col width="60" customWidth="1" min="2" max="2"/>
    <col width="12" customWidth="1" min="3" max="3"/>
    <col width="16" customWidth="1" min="4" max="4"/>
    <col width="20" customWidth="1" min="5" max="5"/>
    <col width="30" customWidth="1" min="6" max="6"/>
  </cols>
  <sheetData>
    <row r="1">
      <c r="A1" s="1" t="inlineStr">
        <is>
          <t>STAGE CHECKLIST</t>
        </is>
      </c>
    </row>
    <row r="2">
      <c r="A2" s="2" t="inlineStr">
        <is>
          <t>Checks to do before moving to the next stage. These are general points. Your engineer or site supervisor decides the actual requirements.</t>
        </is>
      </c>
    </row>
    <row r="3">
      <c r="A3" s="38" t="inlineStr">
        <is>
          <t>EXAMPLE RENOVATION: placeholder rates and quantities. These totals are NOT a real estimate.</t>
        </is>
      </c>
    </row>
    <row r="5" ht="34" customHeight="1">
      <c r="A5" s="5" t="inlineStr">
        <is>
          <t>Stage</t>
        </is>
      </c>
      <c r="B5" s="5" t="inlineStr">
        <is>
          <t>Check before moving on</t>
        </is>
      </c>
      <c r="C5" s="5" t="inlineStr">
        <is>
          <t>Done?</t>
        </is>
      </c>
      <c r="D5" s="5" t="inlineStr">
        <is>
          <t>Date checked</t>
        </is>
      </c>
      <c r="E5" s="5" t="inlineStr">
        <is>
          <t>Who checked</t>
        </is>
      </c>
      <c r="F5" s="5" t="inlineStr">
        <is>
          <t>Notes</t>
        </is>
      </c>
    </row>
    <row r="6">
      <c r="A6" s="3" t="inlineStr">
        <is>
          <t>Site preparation &amp; foundation</t>
        </is>
      </c>
      <c r="B6" s="4" t="n"/>
      <c r="C6" s="4" t="n"/>
      <c r="D6" s="4" t="n"/>
      <c r="E6" s="4" t="n"/>
      <c r="F6" s="4" t="n"/>
    </row>
    <row r="7">
      <c r="A7" s="6" t="inlineStr">
        <is>
          <t>Site preparation &amp; foundation</t>
        </is>
      </c>
      <c r="B7" s="8" t="inlineStr">
        <is>
          <t>Soil test report received</t>
        </is>
      </c>
      <c r="C7" s="10" t="n"/>
      <c r="D7" s="39" t="n"/>
      <c r="E7" s="10" t="n"/>
      <c r="F7" s="10" t="n"/>
    </row>
    <row r="8">
      <c r="A8" s="6" t="inlineStr">
        <is>
          <t>Site preparation &amp; foundation</t>
        </is>
      </c>
      <c r="B8" s="8" t="inlineStr">
        <is>
          <t>Layout marked and checked against the approved plan</t>
        </is>
      </c>
      <c r="C8" s="10" t="n"/>
      <c r="D8" s="39" t="n"/>
      <c r="E8" s="10" t="n"/>
      <c r="F8" s="10" t="n"/>
    </row>
    <row r="9">
      <c r="A9" s="6" t="inlineStr">
        <is>
          <t>Site preparation &amp; foundation</t>
        </is>
      </c>
      <c r="B9" s="8" t="inlineStr">
        <is>
          <t>Foundation depth and width inspected before concrete is poured</t>
        </is>
      </c>
      <c r="C9" s="10" t="n"/>
      <c r="D9" s="39" t="n"/>
      <c r="E9" s="10" t="n"/>
      <c r="F9" s="10" t="n"/>
    </row>
    <row r="10">
      <c r="A10" s="3" t="inlineStr">
        <is>
          <t>Structure (concrete &amp; steel)</t>
        </is>
      </c>
      <c r="B10" s="4" t="n"/>
      <c r="C10" s="4" t="n"/>
      <c r="D10" s="4" t="n"/>
      <c r="E10" s="4" t="n"/>
      <c r="F10" s="4" t="n"/>
    </row>
    <row r="11">
      <c r="A11" s="6" t="inlineStr">
        <is>
          <t>Structure (concrete &amp; steel)</t>
        </is>
      </c>
      <c r="B11" s="8" t="inlineStr">
        <is>
          <t>Steel bar size, spacing and cover match the drawings before concrete</t>
        </is>
      </c>
      <c r="C11" s="10" t="n"/>
      <c r="D11" s="39" t="n"/>
      <c r="E11" s="10" t="n"/>
      <c r="F11" s="10" t="n"/>
    </row>
    <row r="12">
      <c r="A12" s="6" t="inlineStr">
        <is>
          <t>Structure (concrete &amp; steel)</t>
        </is>
      </c>
      <c r="B12" s="8" t="inlineStr">
        <is>
          <t>Concrete grade as specified; test cubes taken</t>
        </is>
      </c>
      <c r="C12" s="10" t="n"/>
      <c r="D12" s="39" t="n"/>
      <c r="E12" s="10" t="n"/>
      <c r="F12" s="10" t="n"/>
    </row>
    <row r="13">
      <c r="A13" s="6" t="inlineStr">
        <is>
          <t>Structure (concrete &amp; steel)</t>
        </is>
      </c>
      <c r="B13" s="8" t="inlineStr">
        <is>
          <t>Formwork checked for level and alignment</t>
        </is>
      </c>
      <c r="C13" s="10" t="n"/>
      <c r="D13" s="39" t="n"/>
      <c r="E13" s="10" t="n"/>
      <c r="F13" s="10" t="n"/>
    </row>
    <row r="14">
      <c r="A14" s="6" t="inlineStr">
        <is>
          <t>Structure (concrete &amp; steel)</t>
        </is>
      </c>
      <c r="B14" s="8" t="inlineStr">
        <is>
          <t>Curing started and recorded</t>
        </is>
      </c>
      <c r="C14" s="10" t="n"/>
      <c r="D14" s="39" t="n"/>
      <c r="E14" s="10" t="n"/>
      <c r="F14" s="10" t="n"/>
    </row>
    <row r="15">
      <c r="A15" s="3" t="inlineStr">
        <is>
          <t>Masonry (walls)</t>
        </is>
      </c>
      <c r="B15" s="4" t="n"/>
      <c r="C15" s="4" t="n"/>
      <c r="D15" s="4" t="n"/>
      <c r="E15" s="4" t="n"/>
      <c r="F15" s="4" t="n"/>
    </row>
    <row r="16">
      <c r="A16" s="6" t="inlineStr">
        <is>
          <t>Masonry (walls)</t>
        </is>
      </c>
      <c r="B16" s="8" t="inlineStr">
        <is>
          <t>Walls checked for alignment and vertical level</t>
        </is>
      </c>
      <c r="C16" s="10" t="n"/>
      <c r="D16" s="39" t="n"/>
      <c r="E16" s="10" t="n"/>
      <c r="F16" s="10" t="n"/>
    </row>
    <row r="17">
      <c r="A17" s="6" t="inlineStr">
        <is>
          <t>Masonry (walls)</t>
        </is>
      </c>
      <c r="B17" s="8" t="inlineStr">
        <is>
          <t>Mortar mix as specified</t>
        </is>
      </c>
      <c r="C17" s="10" t="n"/>
      <c r="D17" s="39" t="n"/>
      <c r="E17" s="10" t="n"/>
      <c r="F17" s="10" t="n"/>
    </row>
    <row r="18">
      <c r="A18" s="6" t="inlineStr">
        <is>
          <t>Masonry (walls)</t>
        </is>
      </c>
      <c r="B18" s="8" t="inlineStr">
        <is>
          <t>Lintels or bands in place above openings</t>
        </is>
      </c>
      <c r="C18" s="10" t="n"/>
      <c r="D18" s="39" t="n"/>
      <c r="E18" s="10" t="n"/>
      <c r="F18" s="10" t="n"/>
    </row>
    <row r="19">
      <c r="A19" s="3" t="inlineStr">
        <is>
          <t>Flooring</t>
        </is>
      </c>
      <c r="B19" s="4" t="n"/>
      <c r="C19" s="4" t="n"/>
      <c r="D19" s="4" t="n"/>
      <c r="E19" s="4" t="n"/>
      <c r="F19" s="4" t="n"/>
    </row>
    <row r="20">
      <c r="A20" s="6" t="inlineStr">
        <is>
          <t>Flooring</t>
        </is>
      </c>
      <c r="B20" s="8" t="inlineStr">
        <is>
          <t>Floor surface level and dry</t>
        </is>
      </c>
      <c r="C20" s="10" t="n"/>
      <c r="D20" s="39" t="n"/>
      <c r="E20" s="10" t="n"/>
      <c r="F20" s="10" t="n"/>
    </row>
    <row r="21">
      <c r="A21" s="6" t="inlineStr">
        <is>
          <t>Flooring</t>
        </is>
      </c>
      <c r="B21" s="8" t="inlineStr">
        <is>
          <t>Tile layout planned before fixing</t>
        </is>
      </c>
      <c r="C21" s="10" t="n"/>
      <c r="D21" s="39" t="n"/>
      <c r="E21" s="10" t="n"/>
      <c r="F21" s="10" t="n"/>
    </row>
    <row r="22">
      <c r="A22" s="6" t="inlineStr">
        <is>
          <t>Flooring</t>
        </is>
      </c>
      <c r="B22" s="8" t="inlineStr">
        <is>
          <t>Tiles from the same batch</t>
        </is>
      </c>
      <c r="C22" s="10" t="n"/>
      <c r="D22" s="39" t="n"/>
      <c r="E22" s="10" t="n"/>
      <c r="F22" s="10" t="n"/>
    </row>
    <row r="23">
      <c r="A23" s="6" t="inlineStr">
        <is>
          <t>Flooring</t>
        </is>
      </c>
      <c r="B23" s="8" t="inlineStr">
        <is>
          <t>Joints checked after fixing</t>
        </is>
      </c>
      <c r="C23" s="10" t="n"/>
      <c r="D23" s="39" t="n"/>
      <c r="E23" s="10" t="n"/>
      <c r="F23" s="10" t="n"/>
    </row>
    <row r="24">
      <c r="A24" s="3" t="inlineStr">
        <is>
          <t>Painting</t>
        </is>
      </c>
      <c r="B24" s="4" t="n"/>
      <c r="C24" s="4" t="n"/>
      <c r="D24" s="4" t="n"/>
      <c r="E24" s="4" t="n"/>
      <c r="F24" s="4" t="n"/>
    </row>
    <row r="25">
      <c r="A25" s="6" t="inlineStr">
        <is>
          <t>Painting</t>
        </is>
      </c>
      <c r="B25" s="8" t="inlineStr">
        <is>
          <t>Walls fully dry and plastered</t>
        </is>
      </c>
      <c r="C25" s="10" t="n"/>
      <c r="D25" s="39" t="n"/>
      <c r="E25" s="10" t="n"/>
      <c r="F25" s="10" t="n"/>
    </row>
    <row r="26">
      <c r="A26" s="6" t="inlineStr">
        <is>
          <t>Painting</t>
        </is>
      </c>
      <c r="B26" s="8" t="inlineStr">
        <is>
          <t>Primer applied</t>
        </is>
      </c>
      <c r="C26" s="10" t="n"/>
      <c r="D26" s="39" t="n"/>
      <c r="E26" s="10" t="n"/>
      <c r="F26" s="10" t="n"/>
    </row>
    <row r="27">
      <c r="A27" s="6" t="inlineStr">
        <is>
          <t>Painting</t>
        </is>
      </c>
      <c r="B27" s="8" t="inlineStr">
        <is>
          <t>Number of coats as specified</t>
        </is>
      </c>
      <c r="C27" s="10" t="n"/>
      <c r="D27" s="39" t="n"/>
      <c r="E27" s="10" t="n"/>
      <c r="F27" s="10" t="n"/>
    </row>
    <row r="28">
      <c r="A28" s="6" t="inlineStr">
        <is>
          <t>Painting</t>
        </is>
      </c>
      <c r="B28" s="8" t="inlineStr">
        <is>
          <t>Paint batch numbers recorded</t>
        </is>
      </c>
      <c r="C28" s="10" t="n"/>
      <c r="D28" s="39" t="n"/>
      <c r="E28" s="10" t="n"/>
      <c r="F28" s="10" t="n"/>
    </row>
    <row r="29">
      <c r="A29" s="3" t="inlineStr">
        <is>
          <t>Doors, windows &amp; fittings</t>
        </is>
      </c>
      <c r="B29" s="4" t="n"/>
      <c r="C29" s="4" t="n"/>
      <c r="D29" s="4" t="n"/>
      <c r="E29" s="4" t="n"/>
      <c r="F29" s="4" t="n"/>
    </row>
    <row r="30">
      <c r="A30" s="6" t="inlineStr">
        <is>
          <t>Doors, windows &amp; fittings</t>
        </is>
      </c>
      <c r="B30" s="8" t="inlineStr">
        <is>
          <t>Frames fixed plumb and level</t>
        </is>
      </c>
      <c r="C30" s="10" t="n"/>
      <c r="D30" s="39" t="n"/>
      <c r="E30" s="10" t="n"/>
      <c r="F30" s="10" t="n"/>
    </row>
    <row r="31">
      <c r="A31" s="6" t="inlineStr">
        <is>
          <t>Doors, windows &amp; fittings</t>
        </is>
      </c>
      <c r="B31" s="8" t="inlineStr">
        <is>
          <t>Hardware and glass match the order</t>
        </is>
      </c>
      <c r="C31" s="10" t="n"/>
      <c r="D31" s="39" t="n"/>
      <c r="E31" s="10" t="n"/>
      <c r="F31" s="10" t="n"/>
    </row>
    <row r="32">
      <c r="A32" s="6" t="inlineStr">
        <is>
          <t>Doors, windows &amp; fittings</t>
        </is>
      </c>
      <c r="B32" s="8" t="inlineStr">
        <is>
          <t>Gaps around frames sealed</t>
        </is>
      </c>
      <c r="C32" s="10" t="n"/>
      <c r="D32" s="39" t="n"/>
      <c r="E32" s="10" t="n"/>
      <c r="F32" s="10" t="n"/>
    </row>
    <row r="33">
      <c r="A33" s="3" t="inlineStr">
        <is>
          <t>Plumbing &amp; electrical</t>
        </is>
      </c>
      <c r="B33" s="4" t="n"/>
      <c r="C33" s="4" t="n"/>
      <c r="D33" s="4" t="n"/>
      <c r="E33" s="4" t="n"/>
      <c r="F33" s="4" t="n"/>
    </row>
    <row r="34">
      <c r="A34" s="6" t="inlineStr">
        <is>
          <t>Plumbing &amp; electrical</t>
        </is>
      </c>
      <c r="B34" s="8" t="inlineStr">
        <is>
          <t>Water lines pressure-tested</t>
        </is>
      </c>
      <c r="C34" s="10" t="n"/>
      <c r="D34" s="39" t="n"/>
      <c r="E34" s="10" t="n"/>
      <c r="F34" s="10" t="n"/>
    </row>
    <row r="35">
      <c r="A35" s="6" t="inlineStr">
        <is>
          <t>Plumbing &amp; electrical</t>
        </is>
      </c>
      <c r="B35" s="8" t="inlineStr">
        <is>
          <t>Electrical circuits and earthing tested</t>
        </is>
      </c>
      <c r="C35" s="10" t="n"/>
      <c r="D35" s="39" t="n"/>
      <c r="E35" s="10" t="n"/>
      <c r="F35" s="10" t="n"/>
    </row>
    <row r="36">
      <c r="A36" s="6" t="inlineStr">
        <is>
          <t>Plumbing &amp; electrical</t>
        </is>
      </c>
      <c r="B36" s="8" t="inlineStr">
        <is>
          <t>Concealed work photographed before walls are closed</t>
        </is>
      </c>
      <c r="C36" s="10" t="n"/>
      <c r="D36" s="39" t="n"/>
      <c r="E36" s="10" t="n"/>
      <c r="F36" s="10" t="n"/>
    </row>
    <row r="37">
      <c r="A37" s="3" t="inlineStr">
        <is>
          <t>Kitchen &amp; bathrooms</t>
        </is>
      </c>
      <c r="B37" s="4" t="n"/>
      <c r="C37" s="4" t="n"/>
      <c r="D37" s="4" t="n"/>
      <c r="E37" s="4" t="n"/>
      <c r="F37" s="4" t="n"/>
    </row>
    <row r="38">
      <c r="A38" s="6" t="inlineStr">
        <is>
          <t>Kitchen &amp; bathrooms</t>
        </is>
      </c>
      <c r="B38" s="8" t="inlineStr">
        <is>
          <t>Waterproofing tested (ponding test) before tiling</t>
        </is>
      </c>
      <c r="C38" s="10" t="n"/>
      <c r="D38" s="39" t="n"/>
      <c r="E38" s="10" t="n"/>
      <c r="F38" s="10" t="n"/>
    </row>
    <row r="39">
      <c r="A39" s="6" t="inlineStr">
        <is>
          <t>Kitchen &amp; bathrooms</t>
        </is>
      </c>
      <c r="B39" s="8" t="inlineStr">
        <is>
          <t>Fittings match the order</t>
        </is>
      </c>
      <c r="C39" s="10" t="n"/>
      <c r="D39" s="39" t="n"/>
      <c r="E39" s="10" t="n"/>
      <c r="F39" s="10" t="n"/>
    </row>
    <row r="40">
      <c r="A40" s="6" t="inlineStr">
        <is>
          <t>Kitchen &amp; bathrooms</t>
        </is>
      </c>
      <c r="B40" s="8" t="inlineStr">
        <is>
          <t>Drainage tested to flow freely</t>
        </is>
      </c>
      <c r="C40" s="10" t="n"/>
      <c r="D40" s="39" t="n"/>
      <c r="E40" s="10" t="n"/>
      <c r="F40" s="10" t="n"/>
    </row>
    <row r="41">
      <c r="A41" s="3" t="inlineStr">
        <is>
          <t>Approvals, fees &amp; other</t>
        </is>
      </c>
      <c r="B41" s="4" t="n"/>
      <c r="C41" s="4" t="n"/>
      <c r="D41" s="4" t="n"/>
      <c r="E41" s="4" t="n"/>
      <c r="F41" s="4" t="n"/>
    </row>
    <row r="42">
      <c r="A42" s="6" t="inlineStr">
        <is>
          <t>Approvals, fees &amp; other</t>
        </is>
      </c>
      <c r="B42" s="8" t="inlineStr">
        <is>
          <t>Building approval in hand before work starts</t>
        </is>
      </c>
      <c r="C42" s="10" t="n"/>
      <c r="D42" s="39" t="n"/>
      <c r="E42" s="10" t="n"/>
      <c r="F42" s="10" t="n"/>
    </row>
    <row r="43">
      <c r="A43" s="6" t="inlineStr">
        <is>
          <t>Approvals, fees &amp; other</t>
        </is>
      </c>
      <c r="B43" s="8" t="inlineStr">
        <is>
          <t>Completion certificate requested</t>
        </is>
      </c>
      <c r="C43" s="10" t="n"/>
      <c r="D43" s="39" t="n"/>
      <c r="E43" s="10" t="n"/>
      <c r="F43" s="10" t="n"/>
    </row>
    <row r="44">
      <c r="A44" s="6" t="inlineStr">
        <is>
          <t>Approvals, fees &amp; other</t>
        </is>
      </c>
      <c r="B44" s="8" t="inlineStr">
        <is>
          <t>Final payment made only after final inspection</t>
        </is>
      </c>
      <c r="C44" s="10" t="n"/>
      <c r="D44" s="39" t="n"/>
      <c r="E44" s="10" t="n"/>
      <c r="F44" s="10" t="n"/>
    </row>
    <row r="46">
      <c r="A46" s="13" t="inlineStr">
        <is>
          <t>Keep photos and signed records of each check. They show what was checked and when.</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C6 C7 C8 C9 C10 C11 C12 C13 C14 C15 C16 C17 C18 C19 C20 C21 C22 C23 C24 C25 C26 C27 C28 C29 C30 C31 C32 C33 C34 C35 C36 C37 C38 C39 C40 C41 C42 C43 C44" showDropDown="0" showInputMessage="0" showErrorMessage="0" allowBlank="1" type="list">
      <formula1>"Yes,No,Not needed"</formula1>
    </dataValidation>
  </dataValidations>
  <pageMargins left="0.75" right="0.75" top="1" bottom="1" header="0.5" footer="0.5"/>
</worksheet>
</file>

<file path=xl/worksheets/sheet17.xml><?xml version="1.0" encoding="utf-8"?>
<worksheet xmlns="http://schemas.openxmlformats.org/spreadsheetml/2006/main">
  <sheetPr>
    <tabColor rgb="002F5D50"/>
    <outlinePr summaryBelow="1" summaryRight="1"/>
    <pageSetUpPr/>
  </sheetPr>
  <dimension ref="A1:L3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10" customWidth="1" min="3" max="3"/>
    <col width="16" customWidth="1" min="4" max="4"/>
    <col width="16" customWidth="1" min="5" max="5"/>
    <col width="16" customWidth="1" min="6" max="6"/>
    <col width="16" customWidth="1" min="7" max="7"/>
    <col width="18" customWidth="1" min="8" max="8"/>
    <col width="22" customWidth="1" min="9" max="9"/>
    <col width="14" customWidth="1" min="10" max="10"/>
    <col width="12" customWidth="1" min="11" max="11"/>
    <col width="12" customWidth="1" min="12" max="12"/>
  </cols>
  <sheetData>
    <row r="1">
      <c r="A1" s="1" t="inlineStr">
        <is>
          <t>ORDER LIST</t>
        </is>
      </c>
    </row>
    <row r="2">
      <c r="A2" s="2" t="inlineStr">
        <is>
          <t>What to buy, how much, from whom, and by when. Quantities come from the calculators.</t>
        </is>
      </c>
    </row>
    <row r="3">
      <c r="A3" s="38" t="inlineStr">
        <is>
          <t>EXAMPLE RENOVATION: placeholder rates and quantities. These totals are NOT a real estimate.</t>
        </is>
      </c>
    </row>
    <row r="5" ht="34" customHeight="1">
      <c r="A5" s="5" t="inlineStr">
        <is>
          <t>Material</t>
        </is>
      </c>
      <c r="B5" s="5" t="inlineStr">
        <is>
          <t>Stage</t>
        </is>
      </c>
      <c r="C5" s="5" t="inlineStr">
        <is>
          <t>Unit</t>
        </is>
      </c>
      <c r="D5" s="5" t="inlineStr">
        <is>
          <t>Calculated quantity</t>
        </is>
      </c>
      <c r="E5" s="5" t="inlineStr">
        <is>
          <t>Extra for wastage (%)</t>
        </is>
      </c>
      <c r="F5" s="5" t="inlineStr">
        <is>
          <t>Order quantity</t>
        </is>
      </c>
      <c r="G5" s="5" t="inlineStr">
        <is>
          <t>Unit rate (₹)</t>
        </is>
      </c>
      <c r="H5" s="5" t="inlineStr">
        <is>
          <t>Line cost (₹)</t>
        </is>
      </c>
      <c r="I5" s="5" t="inlineStr">
        <is>
          <t>Supplier</t>
        </is>
      </c>
      <c r="J5" s="5" t="inlineStr">
        <is>
          <t>Order by</t>
        </is>
      </c>
      <c r="K5" s="5" t="inlineStr">
        <is>
          <t>Ordered?</t>
        </is>
      </c>
      <c r="L5" s="5" t="inlineStr">
        <is>
          <t>Received?</t>
        </is>
      </c>
    </row>
    <row r="6">
      <c r="A6" s="9" t="inlineStr">
        <is>
          <t>Cement (50 kg bag)</t>
        </is>
      </c>
      <c r="B6" s="13" t="inlineStr">
        <is>
          <t>Structure (concrete &amp; steel)</t>
        </is>
      </c>
      <c r="C6" s="13" t="inlineStr">
        <is>
          <t>bags</t>
        </is>
      </c>
      <c r="D6" s="21">
        <f>Concrete!B25</f>
        <v/>
      </c>
      <c r="E6" s="17" t="n">
        <v>0</v>
      </c>
      <c r="F6" s="21">
        <f>ROUNDUP(D6*(1+E6),0)</f>
        <v/>
      </c>
      <c r="G6" s="24">
        <f>Rates!$C$6</f>
        <v/>
      </c>
      <c r="H6" s="24">
        <f>F6*G6</f>
        <v/>
      </c>
      <c r="I6" s="10" t="n"/>
      <c r="J6" s="39" t="n"/>
      <c r="K6" s="10" t="n"/>
      <c r="L6" s="10" t="n"/>
    </row>
    <row r="7">
      <c r="A7" s="9" t="inlineStr">
        <is>
          <t>M-sand</t>
        </is>
      </c>
      <c r="B7" s="13" t="inlineStr">
        <is>
          <t>Structure (concrete &amp; steel)</t>
        </is>
      </c>
      <c r="C7" s="13" t="inlineStr">
        <is>
          <t>cu ft</t>
        </is>
      </c>
      <c r="D7" s="21">
        <f>Concrete!B26</f>
        <v/>
      </c>
      <c r="E7" s="17" t="n">
        <v>0.1</v>
      </c>
      <c r="F7" s="21">
        <f>ROUNDUP(D7*(1+E7),0)</f>
        <v/>
      </c>
      <c r="G7" s="24">
        <f>Rates!$C$7</f>
        <v/>
      </c>
      <c r="H7" s="24">
        <f>F7*G7</f>
        <v/>
      </c>
      <c r="I7" s="10" t="n"/>
      <c r="J7" s="39" t="n"/>
      <c r="K7" s="10" t="n"/>
      <c r="L7" s="10" t="n"/>
    </row>
    <row r="8">
      <c r="A8" s="9" t="inlineStr">
        <is>
          <t>20 mm aggregate</t>
        </is>
      </c>
      <c r="B8" s="13" t="inlineStr">
        <is>
          <t>Structure (concrete &amp; steel)</t>
        </is>
      </c>
      <c r="C8" s="13" t="inlineStr">
        <is>
          <t>cu ft</t>
        </is>
      </c>
      <c r="D8" s="21">
        <f>Concrete!B27</f>
        <v/>
      </c>
      <c r="E8" s="17" t="n">
        <v>0.05</v>
      </c>
      <c r="F8" s="21">
        <f>ROUNDUP(D8*(1+E8),0)</f>
        <v/>
      </c>
      <c r="G8" s="24">
        <f>Rates!$C$8</f>
        <v/>
      </c>
      <c r="H8" s="24">
        <f>F8*G8</f>
        <v/>
      </c>
      <c r="I8" s="10" t="n"/>
      <c r="J8" s="39" t="n"/>
      <c r="K8" s="10" t="n"/>
      <c r="L8" s="10" t="n"/>
    </row>
    <row r="9">
      <c r="A9" s="9" t="inlineStr">
        <is>
          <t>TMT steel 8 mm</t>
        </is>
      </c>
      <c r="B9" s="13" t="inlineStr">
        <is>
          <t>Structure (concrete &amp; steel)</t>
        </is>
      </c>
      <c r="C9" s="13" t="inlineStr">
        <is>
          <t>kg</t>
        </is>
      </c>
      <c r="D9" s="21">
        <f>Steel!D6</f>
        <v/>
      </c>
      <c r="E9" s="17" t="n">
        <v>0.05</v>
      </c>
      <c r="F9" s="21">
        <f>ROUNDUP(D9*(1+E9),0)</f>
        <v/>
      </c>
      <c r="G9" s="24">
        <f>Rates!$C$11</f>
        <v/>
      </c>
      <c r="H9" s="24">
        <f>F9*G9</f>
        <v/>
      </c>
      <c r="I9" s="10" t="n"/>
      <c r="J9" s="39" t="n"/>
      <c r="K9" s="10" t="n"/>
      <c r="L9" s="10" t="n"/>
    </row>
    <row r="10">
      <c r="A10" s="9" t="inlineStr">
        <is>
          <t>TMT steel 10 mm</t>
        </is>
      </c>
      <c r="B10" s="13" t="inlineStr">
        <is>
          <t>Structure (concrete &amp; steel)</t>
        </is>
      </c>
      <c r="C10" s="13" t="inlineStr">
        <is>
          <t>kg</t>
        </is>
      </c>
      <c r="D10" s="21">
        <f>Steel!D7</f>
        <v/>
      </c>
      <c r="E10" s="17" t="n">
        <v>0.05</v>
      </c>
      <c r="F10" s="21">
        <f>ROUNDUP(D10*(1+E10),0)</f>
        <v/>
      </c>
      <c r="G10" s="24">
        <f>Rates!$C$11</f>
        <v/>
      </c>
      <c r="H10" s="24">
        <f>F10*G10</f>
        <v/>
      </c>
      <c r="I10" s="10" t="n"/>
      <c r="J10" s="39" t="n"/>
      <c r="K10" s="10" t="n"/>
      <c r="L10" s="10" t="n"/>
    </row>
    <row r="11">
      <c r="A11" s="9" t="inlineStr">
        <is>
          <t>TMT steel 12 mm</t>
        </is>
      </c>
      <c r="B11" s="13" t="inlineStr">
        <is>
          <t>Structure (concrete &amp; steel)</t>
        </is>
      </c>
      <c r="C11" s="13" t="inlineStr">
        <is>
          <t>kg</t>
        </is>
      </c>
      <c r="D11" s="21">
        <f>Steel!D8</f>
        <v/>
      </c>
      <c r="E11" s="17" t="n">
        <v>0.05</v>
      </c>
      <c r="F11" s="21">
        <f>ROUNDUP(D11*(1+E11),0)</f>
        <v/>
      </c>
      <c r="G11" s="24">
        <f>Rates!$C$11</f>
        <v/>
      </c>
      <c r="H11" s="24">
        <f>F11*G11</f>
        <v/>
      </c>
      <c r="I11" s="10" t="n"/>
      <c r="J11" s="39" t="n"/>
      <c r="K11" s="10" t="n"/>
      <c r="L11" s="10" t="n"/>
    </row>
    <row r="12">
      <c r="A12" s="9" t="inlineStr">
        <is>
          <t>TMT steel 16 mm</t>
        </is>
      </c>
      <c r="B12" s="13" t="inlineStr">
        <is>
          <t>Structure (concrete &amp; steel)</t>
        </is>
      </c>
      <c r="C12" s="13" t="inlineStr">
        <is>
          <t>kg</t>
        </is>
      </c>
      <c r="D12" s="21">
        <f>Steel!D9</f>
        <v/>
      </c>
      <c r="E12" s="17" t="n">
        <v>0.05</v>
      </c>
      <c r="F12" s="21">
        <f>ROUNDUP(D12*(1+E12),0)</f>
        <v/>
      </c>
      <c r="G12" s="24">
        <f>Rates!$C$11</f>
        <v/>
      </c>
      <c r="H12" s="24">
        <f>F12*G12</f>
        <v/>
      </c>
      <c r="I12" s="10" t="n"/>
      <c r="J12" s="39" t="n"/>
      <c r="K12" s="10" t="n"/>
      <c r="L12" s="10" t="n"/>
    </row>
    <row r="13">
      <c r="A13" s="9" t="inlineStr">
        <is>
          <t>TMT steel 20 mm</t>
        </is>
      </c>
      <c r="B13" s="13" t="inlineStr">
        <is>
          <t>Structure (concrete &amp; steel)</t>
        </is>
      </c>
      <c r="C13" s="13" t="inlineStr">
        <is>
          <t>kg</t>
        </is>
      </c>
      <c r="D13" s="21">
        <f>Steel!D10</f>
        <v/>
      </c>
      <c r="E13" s="17" t="n">
        <v>0.05</v>
      </c>
      <c r="F13" s="21">
        <f>ROUNDUP(D13*(1+E13),0)</f>
        <v/>
      </c>
      <c r="G13" s="24">
        <f>Rates!$C$11</f>
        <v/>
      </c>
      <c r="H13" s="24">
        <f>F13*G13</f>
        <v/>
      </c>
      <c r="I13" s="10" t="n"/>
      <c r="J13" s="39" t="n"/>
      <c r="K13" s="10" t="n"/>
      <c r="L13" s="10" t="n"/>
    </row>
    <row r="14">
      <c r="A14" s="9" t="inlineStr">
        <is>
          <t>Red clay bricks</t>
        </is>
      </c>
      <c r="B14" s="13" t="inlineStr">
        <is>
          <t>Masonry (walls)</t>
        </is>
      </c>
      <c r="C14" s="13" t="inlineStr">
        <is>
          <t>pieces</t>
        </is>
      </c>
      <c r="D14" s="21">
        <f>'Bricks &amp; Blocks'!B21</f>
        <v/>
      </c>
      <c r="E14" s="17" t="n">
        <v>0</v>
      </c>
      <c r="F14" s="21">
        <f>ROUNDUP(D14*(1+E14),0)</f>
        <v/>
      </c>
      <c r="G14" s="24">
        <f>Rates!$C$9</f>
        <v/>
      </c>
      <c r="H14" s="24">
        <f>F14*G14</f>
        <v/>
      </c>
      <c r="I14" s="10" t="n"/>
      <c r="J14" s="39" t="n"/>
      <c r="K14" s="10" t="n"/>
      <c r="L14" s="10" t="n"/>
    </row>
    <row r="15">
      <c r="A15" s="9" t="inlineStr">
        <is>
          <t>Floor tiles</t>
        </is>
      </c>
      <c r="B15" s="13" t="inlineStr">
        <is>
          <t>Flooring</t>
        </is>
      </c>
      <c r="C15" s="13" t="inlineStr">
        <is>
          <t>tiles</t>
        </is>
      </c>
      <c r="D15" s="21">
        <f>'Paint &amp; Tiles'!B41</f>
        <v/>
      </c>
      <c r="E15" s="17" t="n">
        <v>0</v>
      </c>
      <c r="F15" s="21">
        <f>ROUNDUP(D15*(1+E15),0)</f>
        <v/>
      </c>
      <c r="G15" s="24">
        <f>Rates!$C$13*('Paint &amp; Tiles'!$B$32/304.8)*('Paint &amp; Tiles'!$B$33/304.8)</f>
        <v/>
      </c>
      <c r="H15" s="24">
        <f>F15*G15</f>
        <v/>
      </c>
      <c r="I15" s="10" t="n"/>
      <c r="J15" s="39" t="n"/>
      <c r="K15" s="10" t="n"/>
      <c r="L15" s="10" t="n"/>
    </row>
    <row r="16">
      <c r="A16" s="9" t="inlineStr">
        <is>
          <t>Interior paint</t>
        </is>
      </c>
      <c r="B16" s="13" t="inlineStr">
        <is>
          <t>Painting</t>
        </is>
      </c>
      <c r="C16" s="13" t="inlineStr">
        <is>
          <t>litres</t>
        </is>
      </c>
      <c r="D16" s="21">
        <f>'Paint &amp; Tiles'!B38</f>
        <v/>
      </c>
      <c r="E16" s="17" t="n">
        <v>0</v>
      </c>
      <c r="F16" s="21">
        <f>ROUNDUP(D16*(1+E16),0)</f>
        <v/>
      </c>
      <c r="G16" s="24">
        <f>Rates!$C$12</f>
        <v/>
      </c>
      <c r="H16" s="24">
        <f>F16*G16</f>
        <v/>
      </c>
      <c r="I16" s="10" t="n"/>
      <c r="J16" s="39" t="n"/>
      <c r="K16" s="10" t="n"/>
      <c r="L16" s="10" t="n"/>
    </row>
    <row r="17">
      <c r="A17" s="9" t="inlineStr">
        <is>
          <t>Cement (plaster)</t>
        </is>
      </c>
      <c r="B17" s="13" t="inlineStr">
        <is>
          <t>Masonry (walls)</t>
        </is>
      </c>
      <c r="C17" s="13" t="inlineStr">
        <is>
          <t>bags</t>
        </is>
      </c>
      <c r="D17" s="21">
        <f>Plaster!B19</f>
        <v/>
      </c>
      <c r="E17" s="17" t="n">
        <v>0</v>
      </c>
      <c r="F17" s="21">
        <f>ROUNDUP(D17*(1+E17),0)</f>
        <v/>
      </c>
      <c r="G17" s="24">
        <f>Rates!$C$6</f>
        <v/>
      </c>
      <c r="H17" s="24">
        <f>F17*G17</f>
        <v/>
      </c>
      <c r="I17" s="10" t="n"/>
      <c r="J17" s="39" t="n"/>
      <c r="K17" s="10" t="n"/>
      <c r="L17" s="10" t="n"/>
    </row>
    <row r="18">
      <c r="A18" s="9" t="inlineStr">
        <is>
          <t>M-sand (plaster)</t>
        </is>
      </c>
      <c r="B18" s="13" t="inlineStr">
        <is>
          <t>Masonry (walls)</t>
        </is>
      </c>
      <c r="C18" s="13" t="inlineStr">
        <is>
          <t>cu ft</t>
        </is>
      </c>
      <c r="D18" s="21">
        <f>Plaster!B20</f>
        <v/>
      </c>
      <c r="E18" s="17" t="n">
        <v>0</v>
      </c>
      <c r="F18" s="21">
        <f>ROUNDUP(D18*(1+E18),0)</f>
        <v/>
      </c>
      <c r="G18" s="24">
        <f>Rates!$C$7</f>
        <v/>
      </c>
      <c r="H18" s="24">
        <f>F18*G18</f>
        <v/>
      </c>
      <c r="I18" s="10" t="n"/>
      <c r="J18" s="39" t="n"/>
      <c r="K18" s="10" t="n"/>
      <c r="L18" s="10" t="n"/>
    </row>
    <row r="19">
      <c r="A19" s="10" t="n"/>
      <c r="B19" s="10" t="n"/>
      <c r="C19" s="10" t="n"/>
      <c r="D19" s="10" t="n"/>
      <c r="E19" s="10" t="n"/>
      <c r="F19" s="29">
        <f>IF(D19="","",ROUNDUP(D19*(1+IF(E19="",0,E19)),0))</f>
        <v/>
      </c>
      <c r="G19" s="12" t="n"/>
      <c r="H19" s="16">
        <f>IF(OR(F19="",G19=""),"",F19*G19)</f>
        <v/>
      </c>
      <c r="I19" s="10" t="n"/>
      <c r="J19" s="39" t="n"/>
      <c r="K19" s="10" t="n"/>
      <c r="L19" s="10" t="n"/>
    </row>
    <row r="20">
      <c r="A20" s="10" t="n"/>
      <c r="B20" s="10" t="n"/>
      <c r="C20" s="10" t="n"/>
      <c r="D20" s="10" t="n"/>
      <c r="E20" s="10" t="n"/>
      <c r="F20" s="29">
        <f>IF(D20="","",ROUNDUP(D20*(1+IF(E20="",0,E20)),0))</f>
        <v/>
      </c>
      <c r="G20" s="12" t="n"/>
      <c r="H20" s="16">
        <f>IF(OR(F20="",G20=""),"",F20*G20)</f>
        <v/>
      </c>
      <c r="I20" s="10" t="n"/>
      <c r="J20" s="39" t="n"/>
      <c r="K20" s="10" t="n"/>
      <c r="L20" s="10" t="n"/>
    </row>
    <row r="21">
      <c r="A21" s="10" t="n"/>
      <c r="B21" s="10" t="n"/>
      <c r="C21" s="10" t="n"/>
      <c r="D21" s="10" t="n"/>
      <c r="E21" s="10" t="n"/>
      <c r="F21" s="29">
        <f>IF(D21="","",ROUNDUP(D21*(1+IF(E21="",0,E21)),0))</f>
        <v/>
      </c>
      <c r="G21" s="12" t="n"/>
      <c r="H21" s="16">
        <f>IF(OR(F21="",G21=""),"",F21*G21)</f>
        <v/>
      </c>
      <c r="I21" s="10" t="n"/>
      <c r="J21" s="39" t="n"/>
      <c r="K21" s="10" t="n"/>
      <c r="L21" s="10" t="n"/>
    </row>
    <row r="22">
      <c r="A22" s="10" t="n"/>
      <c r="B22" s="10" t="n"/>
      <c r="C22" s="10" t="n"/>
      <c r="D22" s="10" t="n"/>
      <c r="E22" s="10" t="n"/>
      <c r="F22" s="29">
        <f>IF(D22="","",ROUNDUP(D22*(1+IF(E22="",0,E22)),0))</f>
        <v/>
      </c>
      <c r="G22" s="12" t="n"/>
      <c r="H22" s="16">
        <f>IF(OR(F22="",G22=""),"",F22*G22)</f>
        <v/>
      </c>
      <c r="I22" s="10" t="n"/>
      <c r="J22" s="39" t="n"/>
      <c r="K22" s="10" t="n"/>
      <c r="L22" s="10" t="n"/>
    </row>
    <row r="23">
      <c r="A23" s="10" t="n"/>
      <c r="B23" s="10" t="n"/>
      <c r="C23" s="10" t="n"/>
      <c r="D23" s="10" t="n"/>
      <c r="E23" s="10" t="n"/>
      <c r="F23" s="29">
        <f>IF(D23="","",ROUNDUP(D23*(1+IF(E23="",0,E23)),0))</f>
        <v/>
      </c>
      <c r="G23" s="12" t="n"/>
      <c r="H23" s="16">
        <f>IF(OR(F23="",G23=""),"",F23*G23)</f>
        <v/>
      </c>
      <c r="I23" s="10" t="n"/>
      <c r="J23" s="39" t="n"/>
      <c r="K23" s="10" t="n"/>
      <c r="L23" s="10" t="n"/>
    </row>
    <row r="24">
      <c r="A24" s="10" t="n"/>
      <c r="B24" s="10" t="n"/>
      <c r="C24" s="10" t="n"/>
      <c r="D24" s="10" t="n"/>
      <c r="E24" s="10" t="n"/>
      <c r="F24" s="29">
        <f>IF(D24="","",ROUNDUP(D24*(1+IF(E24="",0,E24)),0))</f>
        <v/>
      </c>
      <c r="G24" s="12" t="n"/>
      <c r="H24" s="16">
        <f>IF(OR(F24="",G24=""),"",F24*G24)</f>
        <v/>
      </c>
      <c r="I24" s="10" t="n"/>
      <c r="J24" s="39" t="n"/>
      <c r="K24" s="10" t="n"/>
      <c r="L24" s="10" t="n"/>
    </row>
    <row r="25">
      <c r="A25" s="9" t="inlineStr">
        <is>
          <t>TOTAL MATERIAL COST</t>
        </is>
      </c>
      <c r="H25" s="24">
        <f>SUM(H6:H24)</f>
        <v/>
      </c>
    </row>
    <row r="27">
      <c r="A27" s="13" t="inlineStr">
        <is>
          <t>Wastage starts at the defaults shown. Change them to match your supplier's advice.</t>
        </is>
      </c>
    </row>
    <row r="28">
      <c r="A28" s="13" t="inlineStr">
        <is>
          <t>Bricks and tiles already include their breakage allowance, so no extra wastage is added here.</t>
        </is>
      </c>
    </row>
    <row r="29">
      <c r="A29" s="13" t="inlineStr">
        <is>
          <t>Use the spare rows for paint primer, sanitary items or anything else you buy. Enter the quantity and rate by hand.</t>
        </is>
      </c>
    </row>
    <row r="30">
      <c r="A30" s="13" t="inlineStr">
        <is>
          <t>This list covers materials only. Labour, transport and fittings are on the Cost Estimate tab.</t>
        </is>
      </c>
    </row>
  </sheetData>
  <sheetProtection selectLockedCells="0" selectUnlockedCells="0" sheet="1" objects="0" insertRows="1" insertHyperlinks="1" autoFilter="1" scenarios="0" formatColumns="0" deleteColumns="1" insertColumns="1" pivotTables="1" deleteRows="1" formatCells="0" formatRows="0" sort="1"/>
  <dataValidations count="2">
    <dataValidation sqref="K6 K7 K8 K9 K10 K11 K12 K13 K14 K15 K16 K17 K18 K19 K20 K21 K22 K23 K24" showDropDown="0" showInputMessage="0" showErrorMessage="0" allowBlank="1" type="list">
      <formula1>"Yes,No"</formula1>
    </dataValidation>
    <dataValidation sqref="L6 L7 L8 L9 L10 L11 L12 L13 L14 L15 L16 L17 L18 L19 L20 L21 L22 L23 L24" showDropDown="0" showInputMessage="0" showErrorMessage="0" allowBlank="1" type="list">
      <formula1>"Yes,No"</formula1>
    </dataValidation>
  </dataValidations>
  <pageMargins left="0.75" right="0.75" top="1" bottom="1" header="0.5" footer="0.5"/>
</worksheet>
</file>

<file path=xl/worksheets/sheet18.xml><?xml version="1.0" encoding="utf-8"?>
<worksheet xmlns="http://schemas.openxmlformats.org/spreadsheetml/2006/main">
  <sheetPr>
    <tabColor rgb="002F5D50"/>
    <outlinePr summaryBelow="1" summaryRight="1"/>
    <pageSetUpPr/>
  </sheetPr>
  <dimension ref="A1:L48"/>
  <sheetViews>
    <sheetView showGridLines="0" workbookViewId="0">
      <pane ySplit="5" topLeftCell="A6" activePane="bottomLeft" state="frozen"/>
      <selection pane="bottomLeft" activeCell="A1" sqref="A1"/>
    </sheetView>
  </sheetViews>
  <sheetFormatPr baseColWidth="8" defaultRowHeight="15"/>
  <cols>
    <col width="34" customWidth="1" min="1" max="1"/>
    <col width="30" customWidth="1" min="2" max="2"/>
    <col width="16" customWidth="1" min="3" max="3"/>
    <col width="24" customWidth="1" min="4" max="4"/>
    <col width="14" customWidth="1" min="5" max="5"/>
    <col width="14" customWidth="1" min="6" max="6"/>
    <col width="12" customWidth="1" min="7" max="7"/>
    <col width="14" customWidth="1" min="8" max="8"/>
    <col width="12" customWidth="1" min="9" max="9"/>
    <col width="22" customWidth="1" min="11" max="11"/>
    <col width="10" customWidth="1" min="12" max="12"/>
  </cols>
  <sheetData>
    <row r="1">
      <c r="A1" s="1" t="inlineStr">
        <is>
          <t>TASK TRACKER</t>
        </is>
      </c>
    </row>
    <row r="2">
      <c r="A2" s="2" t="inlineStr">
        <is>
          <t>Every job on the build, who does it, and when it is due. Overdue tasks turn red.</t>
        </is>
      </c>
    </row>
    <row r="3">
      <c r="A3" s="38" t="inlineStr">
        <is>
          <t>EXAMPLE RENOVATION: placeholder rates and quantities. These totals are NOT a real estimate.</t>
        </is>
      </c>
    </row>
    <row r="5" ht="34" customHeight="1">
      <c r="A5" s="5" t="inlineStr">
        <is>
          <t>Task</t>
        </is>
      </c>
      <c r="B5" s="5" t="inlineStr">
        <is>
          <t>Stage</t>
        </is>
      </c>
      <c r="C5" s="5" t="inlineStr">
        <is>
          <t>Room / area</t>
        </is>
      </c>
      <c r="D5" s="5" t="inlineStr">
        <is>
          <t>Assigned to</t>
        </is>
      </c>
      <c r="E5" s="5" t="inlineStr">
        <is>
          <t>Start date</t>
        </is>
      </c>
      <c r="F5" s="5" t="inlineStr">
        <is>
          <t>Due date</t>
        </is>
      </c>
      <c r="G5" s="5" t="inlineStr">
        <is>
          <t>Priority</t>
        </is>
      </c>
      <c r="H5" s="5" t="inlineStr">
        <is>
          <t>Status</t>
        </is>
      </c>
      <c r="I5" s="5" t="inlineStr">
        <is>
          <t>Days left</t>
        </is>
      </c>
      <c r="K5" s="9" t="inlineStr">
        <is>
          <t>STATUS SUMMARY</t>
        </is>
      </c>
    </row>
    <row r="6">
      <c r="A6" s="10" t="inlineStr">
        <is>
          <t>Get building approval</t>
        </is>
      </c>
      <c r="B6" s="10" t="n"/>
      <c r="C6" s="10" t="inlineStr">
        <is>
          <t>General</t>
        </is>
      </c>
      <c r="D6" s="10" t="inlineStr">
        <is>
          <t>Owner</t>
        </is>
      </c>
      <c r="E6" s="39" t="n"/>
      <c r="F6" s="39" t="n"/>
      <c r="G6" s="10" t="inlineStr">
        <is>
          <t>High</t>
        </is>
      </c>
      <c r="H6" s="10" t="inlineStr">
        <is>
          <t>Not started</t>
        </is>
      </c>
      <c r="I6" s="21">
        <f>IF(F6="","",F6-TODAY())</f>
        <v/>
      </c>
      <c r="K6" s="13" t="inlineStr">
        <is>
          <t>Not started</t>
        </is>
      </c>
      <c r="L6" s="21">
        <f>COUNTIF($H$6:$H$45,K6)</f>
        <v/>
      </c>
    </row>
    <row r="7">
      <c r="A7" s="10" t="inlineStr">
        <is>
          <t>Soil test</t>
        </is>
      </c>
      <c r="B7" s="10" t="n"/>
      <c r="C7" s="10" t="inlineStr">
        <is>
          <t>General</t>
        </is>
      </c>
      <c r="D7" s="10" t="inlineStr">
        <is>
          <t>Soil tester</t>
        </is>
      </c>
      <c r="E7" s="39" t="n"/>
      <c r="F7" s="39" t="n"/>
      <c r="G7" s="10" t="inlineStr">
        <is>
          <t>High</t>
        </is>
      </c>
      <c r="H7" s="10" t="inlineStr">
        <is>
          <t>Not started</t>
        </is>
      </c>
      <c r="I7" s="21">
        <f>IF(F7="","",F7-TODAY())</f>
        <v/>
      </c>
      <c r="K7" s="13" t="inlineStr">
        <is>
          <t>In progress</t>
        </is>
      </c>
      <c r="L7" s="21">
        <f>COUNTIF($H$6:$H$45,K7)</f>
        <v/>
      </c>
    </row>
    <row r="8">
      <c r="A8" s="10" t="inlineStr">
        <is>
          <t>Mark layout on site</t>
        </is>
      </c>
      <c r="B8" s="10" t="n"/>
      <c r="C8" s="10" t="inlineStr">
        <is>
          <t>General</t>
        </is>
      </c>
      <c r="D8" s="10" t="inlineStr">
        <is>
          <t>Engineer / mason</t>
        </is>
      </c>
      <c r="E8" s="39" t="n"/>
      <c r="F8" s="39" t="n"/>
      <c r="G8" s="10" t="inlineStr">
        <is>
          <t>High</t>
        </is>
      </c>
      <c r="H8" s="10" t="inlineStr">
        <is>
          <t>Not started</t>
        </is>
      </c>
      <c r="I8" s="21">
        <f>IF(F8="","",F8-TODAY())</f>
        <v/>
      </c>
      <c r="K8" s="13" t="inlineStr">
        <is>
          <t>Done</t>
        </is>
      </c>
      <c r="L8" s="21">
        <f>COUNTIF($H$6:$H$45,K8)</f>
        <v/>
      </c>
    </row>
    <row r="9">
      <c r="A9" s="10" t="inlineStr">
        <is>
          <t>Order cement and steel</t>
        </is>
      </c>
      <c r="B9" s="10" t="n"/>
      <c r="C9" s="10" t="inlineStr">
        <is>
          <t>General</t>
        </is>
      </c>
      <c r="D9" s="10" t="inlineStr">
        <is>
          <t>Owner</t>
        </is>
      </c>
      <c r="E9" s="39" t="n"/>
      <c r="F9" s="39" t="n"/>
      <c r="G9" s="10" t="inlineStr">
        <is>
          <t>High</t>
        </is>
      </c>
      <c r="H9" s="10" t="inlineStr">
        <is>
          <t>Not started</t>
        </is>
      </c>
      <c r="I9" s="21">
        <f>IF(F9="","",F9-TODAY())</f>
        <v/>
      </c>
      <c r="K9" s="13" t="inlineStr">
        <is>
          <t>On hold</t>
        </is>
      </c>
      <c r="L9" s="21">
        <f>COUNTIF($H$6:$H$45,K9)</f>
        <v/>
      </c>
    </row>
    <row r="10">
      <c r="A10" s="10" t="inlineStr">
        <is>
          <t>Steel bar check before concrete</t>
        </is>
      </c>
      <c r="B10" s="10" t="n"/>
      <c r="C10" s="10" t="inlineStr">
        <is>
          <t>General</t>
        </is>
      </c>
      <c r="D10" s="10" t="inlineStr">
        <is>
          <t>Engineer</t>
        </is>
      </c>
      <c r="E10" s="39" t="n"/>
      <c r="F10" s="39" t="n"/>
      <c r="G10" s="10" t="inlineStr">
        <is>
          <t>High</t>
        </is>
      </c>
      <c r="H10" s="10" t="inlineStr">
        <is>
          <t>Not started</t>
        </is>
      </c>
      <c r="I10" s="21">
        <f>IF(F10="","",F10-TODAY())</f>
        <v/>
      </c>
      <c r="K10" s="9" t="inlineStr">
        <is>
          <t>Overdue (not Done)</t>
        </is>
      </c>
      <c r="L10" s="21">
        <f>COUNTIFS($I$6:$I$45,"&lt;0",$H$6:$H$45,"&lt;&gt;Done")</f>
        <v/>
      </c>
    </row>
    <row r="11">
      <c r="A11" s="10" t="inlineStr">
        <is>
          <t>Brickwork to lintel level</t>
        </is>
      </c>
      <c r="B11" s="10" t="n"/>
      <c r="C11" s="10" t="inlineStr">
        <is>
          <t>General</t>
        </is>
      </c>
      <c r="D11" s="10" t="inlineStr">
        <is>
          <t>Mason</t>
        </is>
      </c>
      <c r="E11" s="39" t="n"/>
      <c r="F11" s="39" t="n"/>
      <c r="G11" s="10" t="inlineStr">
        <is>
          <t>Medium</t>
        </is>
      </c>
      <c r="H11" s="10" t="inlineStr">
        <is>
          <t>Not started</t>
        </is>
      </c>
      <c r="I11" s="21">
        <f>IF(F11="","",F11-TODAY())</f>
        <v/>
      </c>
    </row>
    <row r="12">
      <c r="A12" s="10" t="inlineStr">
        <is>
          <t>Plumbing lines in walls</t>
        </is>
      </c>
      <c r="B12" s="10" t="n"/>
      <c r="C12" s="10" t="inlineStr">
        <is>
          <t>Bathrooms</t>
        </is>
      </c>
      <c r="D12" s="10" t="inlineStr">
        <is>
          <t>Plumber</t>
        </is>
      </c>
      <c r="E12" s="39" t="n"/>
      <c r="F12" s="39" t="n"/>
      <c r="G12" s="10" t="inlineStr">
        <is>
          <t>Medium</t>
        </is>
      </c>
      <c r="H12" s="10" t="inlineStr">
        <is>
          <t>Not started</t>
        </is>
      </c>
      <c r="I12" s="21">
        <f>IF(F12="","",F12-TODAY())</f>
        <v/>
      </c>
    </row>
    <row r="13">
      <c r="A13" s="10" t="inlineStr">
        <is>
          <t>Electrical conduits in walls</t>
        </is>
      </c>
      <c r="B13" s="10" t="n"/>
      <c r="C13" s="10" t="inlineStr">
        <is>
          <t>General</t>
        </is>
      </c>
      <c r="D13" s="10" t="inlineStr">
        <is>
          <t>Electrician</t>
        </is>
      </c>
      <c r="E13" s="39" t="n"/>
      <c r="F13" s="39" t="n"/>
      <c r="G13" s="10" t="inlineStr">
        <is>
          <t>Medium</t>
        </is>
      </c>
      <c r="H13" s="10" t="inlineStr">
        <is>
          <t>Not started</t>
        </is>
      </c>
      <c r="I13" s="21">
        <f>IF(F13="","",F13-TODAY())</f>
        <v/>
      </c>
    </row>
    <row r="14">
      <c r="A14" s="10" t="inlineStr">
        <is>
          <t>Waterproofing test</t>
        </is>
      </c>
      <c r="B14" s="10" t="n"/>
      <c r="C14" s="10" t="inlineStr">
        <is>
          <t>Bathrooms</t>
        </is>
      </c>
      <c r="D14" s="10" t="inlineStr">
        <is>
          <t>Waterproofing contractor</t>
        </is>
      </c>
      <c r="E14" s="39" t="n"/>
      <c r="F14" s="39" t="n"/>
      <c r="G14" s="10" t="inlineStr">
        <is>
          <t>High</t>
        </is>
      </c>
      <c r="H14" s="10" t="inlineStr">
        <is>
          <t>Not started</t>
        </is>
      </c>
      <c r="I14" s="21">
        <f>IF(F14="","",F14-TODAY())</f>
        <v/>
      </c>
    </row>
    <row r="15">
      <c r="A15" s="10" t="inlineStr">
        <is>
          <t>Order floor tiles</t>
        </is>
      </c>
      <c r="B15" s="10" t="n"/>
      <c r="C15" s="10" t="inlineStr">
        <is>
          <t>General</t>
        </is>
      </c>
      <c r="D15" s="10" t="inlineStr">
        <is>
          <t>Owner</t>
        </is>
      </c>
      <c r="E15" s="39" t="n"/>
      <c r="F15" s="39" t="n"/>
      <c r="G15" s="10" t="inlineStr">
        <is>
          <t>Medium</t>
        </is>
      </c>
      <c r="H15" s="10" t="inlineStr">
        <is>
          <t>Not started</t>
        </is>
      </c>
      <c r="I15" s="21">
        <f>IF(F15="","",F15-TODAY())</f>
        <v/>
      </c>
    </row>
    <row r="16">
      <c r="A16" s="10" t="inlineStr">
        <is>
          <t>Paint primer coat</t>
        </is>
      </c>
      <c r="B16" s="10" t="n"/>
      <c r="C16" s="10" t="inlineStr">
        <is>
          <t>General</t>
        </is>
      </c>
      <c r="D16" s="10" t="inlineStr">
        <is>
          <t>Painter</t>
        </is>
      </c>
      <c r="E16" s="39" t="n"/>
      <c r="F16" s="39" t="n"/>
      <c r="G16" s="10" t="inlineStr">
        <is>
          <t>Low</t>
        </is>
      </c>
      <c r="H16" s="10" t="inlineStr">
        <is>
          <t>Not started</t>
        </is>
      </c>
      <c r="I16" s="21">
        <f>IF(F16="","",F16-TODAY())</f>
        <v/>
      </c>
    </row>
    <row r="17">
      <c r="A17" s="10" t="inlineStr">
        <is>
          <t>Final inspection</t>
        </is>
      </c>
      <c r="B17" s="10" t="n"/>
      <c r="C17" s="10" t="inlineStr">
        <is>
          <t>General</t>
        </is>
      </c>
      <c r="D17" s="10" t="inlineStr">
        <is>
          <t>Engineer</t>
        </is>
      </c>
      <c r="E17" s="39" t="n"/>
      <c r="F17" s="39" t="n"/>
      <c r="G17" s="10" t="inlineStr">
        <is>
          <t>High</t>
        </is>
      </c>
      <c r="H17" s="10" t="inlineStr">
        <is>
          <t>Not started</t>
        </is>
      </c>
      <c r="I17" s="21">
        <f>IF(F17="","",F17-TODAY())</f>
        <v/>
      </c>
    </row>
    <row r="18">
      <c r="A18" s="10" t="n"/>
      <c r="B18" s="10" t="n"/>
      <c r="C18" s="10" t="n"/>
      <c r="D18" s="10" t="n"/>
      <c r="E18" s="39" t="n"/>
      <c r="F18" s="39" t="n"/>
      <c r="G18" s="10" t="n"/>
      <c r="H18" s="10" t="n"/>
      <c r="I18" s="21">
        <f>IF(F18="","",F18-TODAY())</f>
        <v/>
      </c>
    </row>
    <row r="19">
      <c r="A19" s="10" t="n"/>
      <c r="B19" s="10" t="n"/>
      <c r="C19" s="10" t="n"/>
      <c r="D19" s="10" t="n"/>
      <c r="E19" s="39" t="n"/>
      <c r="F19" s="39" t="n"/>
      <c r="G19" s="10" t="n"/>
      <c r="H19" s="10" t="n"/>
      <c r="I19" s="21">
        <f>IF(F19="","",F19-TODAY())</f>
        <v/>
      </c>
    </row>
    <row r="20">
      <c r="A20" s="10" t="n"/>
      <c r="B20" s="10" t="n"/>
      <c r="C20" s="10" t="n"/>
      <c r="D20" s="10" t="n"/>
      <c r="E20" s="39" t="n"/>
      <c r="F20" s="39" t="n"/>
      <c r="G20" s="10" t="n"/>
      <c r="H20" s="10" t="n"/>
      <c r="I20" s="21">
        <f>IF(F20="","",F20-TODAY())</f>
        <v/>
      </c>
    </row>
    <row r="21">
      <c r="A21" s="10" t="n"/>
      <c r="B21" s="10" t="n"/>
      <c r="C21" s="10" t="n"/>
      <c r="D21" s="10" t="n"/>
      <c r="E21" s="39" t="n"/>
      <c r="F21" s="39" t="n"/>
      <c r="G21" s="10" t="n"/>
      <c r="H21" s="10" t="n"/>
      <c r="I21" s="21">
        <f>IF(F21="","",F21-TODAY())</f>
        <v/>
      </c>
    </row>
    <row r="22">
      <c r="A22" s="10" t="n"/>
      <c r="B22" s="10" t="n"/>
      <c r="C22" s="10" t="n"/>
      <c r="D22" s="10" t="n"/>
      <c r="E22" s="39" t="n"/>
      <c r="F22" s="39" t="n"/>
      <c r="G22" s="10" t="n"/>
      <c r="H22" s="10" t="n"/>
      <c r="I22" s="21">
        <f>IF(F22="","",F22-TODAY())</f>
        <v/>
      </c>
    </row>
    <row r="23">
      <c r="A23" s="10" t="n"/>
      <c r="B23" s="10" t="n"/>
      <c r="C23" s="10" t="n"/>
      <c r="D23" s="10" t="n"/>
      <c r="E23" s="39" t="n"/>
      <c r="F23" s="39" t="n"/>
      <c r="G23" s="10" t="n"/>
      <c r="H23" s="10" t="n"/>
      <c r="I23" s="21">
        <f>IF(F23="","",F23-TODAY())</f>
        <v/>
      </c>
    </row>
    <row r="24">
      <c r="A24" s="10" t="n"/>
      <c r="B24" s="10" t="n"/>
      <c r="C24" s="10" t="n"/>
      <c r="D24" s="10" t="n"/>
      <c r="E24" s="39" t="n"/>
      <c r="F24" s="39" t="n"/>
      <c r="G24" s="10" t="n"/>
      <c r="H24" s="10" t="n"/>
      <c r="I24" s="21">
        <f>IF(F24="","",F24-TODAY())</f>
        <v/>
      </c>
    </row>
    <row r="25">
      <c r="A25" s="10" t="n"/>
      <c r="B25" s="10" t="n"/>
      <c r="C25" s="10" t="n"/>
      <c r="D25" s="10" t="n"/>
      <c r="E25" s="39" t="n"/>
      <c r="F25" s="39" t="n"/>
      <c r="G25" s="10" t="n"/>
      <c r="H25" s="10" t="n"/>
      <c r="I25" s="21">
        <f>IF(F25="","",F25-TODAY())</f>
        <v/>
      </c>
    </row>
    <row r="26">
      <c r="A26" s="10" t="n"/>
      <c r="B26" s="10" t="n"/>
      <c r="C26" s="10" t="n"/>
      <c r="D26" s="10" t="n"/>
      <c r="E26" s="39" t="n"/>
      <c r="F26" s="39" t="n"/>
      <c r="G26" s="10" t="n"/>
      <c r="H26" s="10" t="n"/>
      <c r="I26" s="21">
        <f>IF(F26="","",F26-TODAY())</f>
        <v/>
      </c>
    </row>
    <row r="27">
      <c r="A27" s="10" t="n"/>
      <c r="B27" s="10" t="n"/>
      <c r="C27" s="10" t="n"/>
      <c r="D27" s="10" t="n"/>
      <c r="E27" s="39" t="n"/>
      <c r="F27" s="39" t="n"/>
      <c r="G27" s="10" t="n"/>
      <c r="H27" s="10" t="n"/>
      <c r="I27" s="21">
        <f>IF(F27="","",F27-TODAY())</f>
        <v/>
      </c>
    </row>
    <row r="28">
      <c r="A28" s="10" t="n"/>
      <c r="B28" s="10" t="n"/>
      <c r="C28" s="10" t="n"/>
      <c r="D28" s="10" t="n"/>
      <c r="E28" s="39" t="n"/>
      <c r="F28" s="39" t="n"/>
      <c r="G28" s="10" t="n"/>
      <c r="H28" s="10" t="n"/>
      <c r="I28" s="21">
        <f>IF(F28="","",F28-TODAY())</f>
        <v/>
      </c>
    </row>
    <row r="29">
      <c r="A29" s="10" t="n"/>
      <c r="B29" s="10" t="n"/>
      <c r="C29" s="10" t="n"/>
      <c r="D29" s="10" t="n"/>
      <c r="E29" s="39" t="n"/>
      <c r="F29" s="39" t="n"/>
      <c r="G29" s="10" t="n"/>
      <c r="H29" s="10" t="n"/>
      <c r="I29" s="21">
        <f>IF(F29="","",F29-TODAY())</f>
        <v/>
      </c>
    </row>
    <row r="30">
      <c r="A30" s="10" t="n"/>
      <c r="B30" s="10" t="n"/>
      <c r="C30" s="10" t="n"/>
      <c r="D30" s="10" t="n"/>
      <c r="E30" s="39" t="n"/>
      <c r="F30" s="39" t="n"/>
      <c r="G30" s="10" t="n"/>
      <c r="H30" s="10" t="n"/>
      <c r="I30" s="21">
        <f>IF(F30="","",F30-TODAY())</f>
        <v/>
      </c>
    </row>
    <row r="31">
      <c r="A31" s="10" t="n"/>
      <c r="B31" s="10" t="n"/>
      <c r="C31" s="10" t="n"/>
      <c r="D31" s="10" t="n"/>
      <c r="E31" s="39" t="n"/>
      <c r="F31" s="39" t="n"/>
      <c r="G31" s="10" t="n"/>
      <c r="H31" s="10" t="n"/>
      <c r="I31" s="21">
        <f>IF(F31="","",F31-TODAY())</f>
        <v/>
      </c>
    </row>
    <row r="32">
      <c r="A32" s="10" t="n"/>
      <c r="B32" s="10" t="n"/>
      <c r="C32" s="10" t="n"/>
      <c r="D32" s="10" t="n"/>
      <c r="E32" s="39" t="n"/>
      <c r="F32" s="39" t="n"/>
      <c r="G32" s="10" t="n"/>
      <c r="H32" s="10" t="n"/>
      <c r="I32" s="21">
        <f>IF(F32="","",F32-TODAY())</f>
        <v/>
      </c>
    </row>
    <row r="33">
      <c r="A33" s="10" t="n"/>
      <c r="B33" s="10" t="n"/>
      <c r="C33" s="10" t="n"/>
      <c r="D33" s="10" t="n"/>
      <c r="E33" s="39" t="n"/>
      <c r="F33" s="39" t="n"/>
      <c r="G33" s="10" t="n"/>
      <c r="H33" s="10" t="n"/>
      <c r="I33" s="21">
        <f>IF(F33="","",F33-TODAY())</f>
        <v/>
      </c>
    </row>
    <row r="34">
      <c r="A34" s="10" t="n"/>
      <c r="B34" s="10" t="n"/>
      <c r="C34" s="10" t="n"/>
      <c r="D34" s="10" t="n"/>
      <c r="E34" s="39" t="n"/>
      <c r="F34" s="39" t="n"/>
      <c r="G34" s="10" t="n"/>
      <c r="H34" s="10" t="n"/>
      <c r="I34" s="21">
        <f>IF(F34="","",F34-TODAY())</f>
        <v/>
      </c>
    </row>
    <row r="35">
      <c r="A35" s="10" t="n"/>
      <c r="B35" s="10" t="n"/>
      <c r="C35" s="10" t="n"/>
      <c r="D35" s="10" t="n"/>
      <c r="E35" s="39" t="n"/>
      <c r="F35" s="39" t="n"/>
      <c r="G35" s="10" t="n"/>
      <c r="H35" s="10" t="n"/>
      <c r="I35" s="21">
        <f>IF(F35="","",F35-TODAY())</f>
        <v/>
      </c>
    </row>
    <row r="36">
      <c r="A36" s="10" t="n"/>
      <c r="B36" s="10" t="n"/>
      <c r="C36" s="10" t="n"/>
      <c r="D36" s="10" t="n"/>
      <c r="E36" s="39" t="n"/>
      <c r="F36" s="39" t="n"/>
      <c r="G36" s="10" t="n"/>
      <c r="H36" s="10" t="n"/>
      <c r="I36" s="21">
        <f>IF(F36="","",F36-TODAY())</f>
        <v/>
      </c>
    </row>
    <row r="37">
      <c r="A37" s="10" t="n"/>
      <c r="B37" s="10" t="n"/>
      <c r="C37" s="10" t="n"/>
      <c r="D37" s="10" t="n"/>
      <c r="E37" s="39" t="n"/>
      <c r="F37" s="39" t="n"/>
      <c r="G37" s="10" t="n"/>
      <c r="H37" s="10" t="n"/>
      <c r="I37" s="21">
        <f>IF(F37="","",F37-TODAY())</f>
        <v/>
      </c>
    </row>
    <row r="38">
      <c r="A38" s="10" t="n"/>
      <c r="B38" s="10" t="n"/>
      <c r="C38" s="10" t="n"/>
      <c r="D38" s="10" t="n"/>
      <c r="E38" s="39" t="n"/>
      <c r="F38" s="39" t="n"/>
      <c r="G38" s="10" t="n"/>
      <c r="H38" s="10" t="n"/>
      <c r="I38" s="21">
        <f>IF(F38="","",F38-TODAY())</f>
        <v/>
      </c>
    </row>
    <row r="39">
      <c r="A39" s="10" t="n"/>
      <c r="B39" s="10" t="n"/>
      <c r="C39" s="10" t="n"/>
      <c r="D39" s="10" t="n"/>
      <c r="E39" s="39" t="n"/>
      <c r="F39" s="39" t="n"/>
      <c r="G39" s="10" t="n"/>
      <c r="H39" s="10" t="n"/>
      <c r="I39" s="21">
        <f>IF(F39="","",F39-TODAY())</f>
        <v/>
      </c>
    </row>
    <row r="40">
      <c r="A40" s="10" t="n"/>
      <c r="B40" s="10" t="n"/>
      <c r="C40" s="10" t="n"/>
      <c r="D40" s="10" t="n"/>
      <c r="E40" s="39" t="n"/>
      <c r="F40" s="39" t="n"/>
      <c r="G40" s="10" t="n"/>
      <c r="H40" s="10" t="n"/>
      <c r="I40" s="21">
        <f>IF(F40="","",F40-TODAY())</f>
        <v/>
      </c>
    </row>
    <row r="41">
      <c r="A41" s="10" t="n"/>
      <c r="B41" s="10" t="n"/>
      <c r="C41" s="10" t="n"/>
      <c r="D41" s="10" t="n"/>
      <c r="E41" s="39" t="n"/>
      <c r="F41" s="39" t="n"/>
      <c r="G41" s="10" t="n"/>
      <c r="H41" s="10" t="n"/>
      <c r="I41" s="21">
        <f>IF(F41="","",F41-TODAY())</f>
        <v/>
      </c>
    </row>
    <row r="42">
      <c r="A42" s="10" t="n"/>
      <c r="B42" s="10" t="n"/>
      <c r="C42" s="10" t="n"/>
      <c r="D42" s="10" t="n"/>
      <c r="E42" s="39" t="n"/>
      <c r="F42" s="39" t="n"/>
      <c r="G42" s="10" t="n"/>
      <c r="H42" s="10" t="n"/>
      <c r="I42" s="21">
        <f>IF(F42="","",F42-TODAY())</f>
        <v/>
      </c>
    </row>
    <row r="43">
      <c r="A43" s="10" t="n"/>
      <c r="B43" s="10" t="n"/>
      <c r="C43" s="10" t="n"/>
      <c r="D43" s="10" t="n"/>
      <c r="E43" s="39" t="n"/>
      <c r="F43" s="39" t="n"/>
      <c r="G43" s="10" t="n"/>
      <c r="H43" s="10" t="n"/>
      <c r="I43" s="21">
        <f>IF(F43="","",F43-TODAY())</f>
        <v/>
      </c>
    </row>
    <row r="44">
      <c r="A44" s="10" t="n"/>
      <c r="B44" s="10" t="n"/>
      <c r="C44" s="10" t="n"/>
      <c r="D44" s="10" t="n"/>
      <c r="E44" s="39" t="n"/>
      <c r="F44" s="39" t="n"/>
      <c r="G44" s="10" t="n"/>
      <c r="H44" s="10" t="n"/>
      <c r="I44" s="21">
        <f>IF(F44="","",F44-TODAY())</f>
        <v/>
      </c>
    </row>
    <row r="45">
      <c r="A45" s="10" t="n"/>
      <c r="B45" s="10" t="n"/>
      <c r="C45" s="10" t="n"/>
      <c r="D45" s="10" t="n"/>
      <c r="E45" s="39" t="n"/>
      <c r="F45" s="39" t="n"/>
      <c r="G45" s="10" t="n"/>
      <c r="H45" s="10" t="n"/>
      <c r="I45" s="21">
        <f>IF(F45="","",F45-TODAY())</f>
        <v/>
      </c>
    </row>
    <row r="47">
      <c r="A47" s="13" t="inlineStr">
        <is>
          <t>Overdue = due date has passed and the task is not Done. Days left is counted from today.</t>
        </is>
      </c>
    </row>
    <row r="48">
      <c r="A48" s="13" t="inlineStr">
        <is>
          <t>Pre-filled tasks are examples. Change or delete them to suit your build.</t>
        </is>
      </c>
    </row>
  </sheetData>
  <sheetProtection selectLockedCells="0" selectUnlockedCells="0" sheet="1" objects="0" insertRows="1" insertHyperlinks="1" autoFilter="1" scenarios="0" formatColumns="0" deleteColumns="1" insertColumns="1" pivotTables="1" deleteRows="1" formatCells="0" formatRows="0" sort="1"/>
  <conditionalFormatting sqref="I6:I45">
    <cfRule type="expression" priority="1" dxfId="0">
      <formula>AND(ISNUMBER($I6),$I6&lt;0,$H6&lt;&gt;"Done")</formula>
    </cfRule>
  </conditionalFormatting>
  <dataValidations count="3">
    <dataValidation sqref="B6 B7 B8 B9 B10 B11 B12 B13 B14 B15 B16 B17 B18 B19 B20 B21 B22 B23 B24 B25 B26 B27 B28 B29 B30 B31 B32 B33 B34 B35 B36 B37 B38 B39 B40 B41 B42 B43 B44 B45" showDropDown="0" showInputMessage="0" showErrorMessage="0" allowBlank="1" type="list">
      <formula1>"Site preparation &amp; foundation,Structure (concrete &amp; steel),Masonry (walls),Flooring,Painting,Doors, windows &amp; fittings,Plumbing &amp; electrical,Kitchen &amp; bathrooms,Approvals, fees &amp; other"</formula1>
    </dataValidation>
    <dataValidation sqref="G6 G7 G8 G9 G10 G11 G12 G13 G14 G15 G16 G17 G18 G19 G20 G21 G22 G23 G24 G25 G26 G27 G28 G29 G30 G31 G32 G33 G34 G35 G36 G37 G38 G39 G40 G41 G42 G43 G44 G45" showDropDown="0" showInputMessage="0" showErrorMessage="0" allowBlank="1" type="list">
      <formula1>"High,Medium,Low"</formula1>
    </dataValidation>
    <dataValidation sqref="H6 H7 H8 H9 H10 H11 H12 H13 H14 H15 H16 H17 H18 H19 H20 H21 H22 H23 H24 H25 H26 H27 H28 H29 H30 H31 H32 H33 H34 H35 H36 H37 H38 H39 H40 H41 H42 H43 H44 H45" showDropDown="0" showInputMessage="0" showErrorMessage="0" allowBlank="1" type="list">
      <formula1>"Not started,In progress,Done,On hold"</formula1>
    </dataValidation>
  </dataValidation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tabColor rgb="002F5D50"/>
    <outlinePr summaryBelow="1" summaryRight="1"/>
    <pageSetUpPr/>
  </sheetPr>
  <dimension ref="A1:I28"/>
  <sheetViews>
    <sheetView showGridLines="0" workbookViewId="0">
      <pane ySplit="5" topLeftCell="A6" activePane="bottomLeft" state="frozen"/>
      <selection pane="bottomLeft" activeCell="A1" sqref="A1"/>
    </sheetView>
  </sheetViews>
  <sheetFormatPr baseColWidth="8" defaultRowHeight="15"/>
  <cols>
    <col width="42" customWidth="1" min="1" max="1"/>
    <col width="36" customWidth="1" min="2" max="2"/>
    <col width="22" customWidth="1" min="3" max="3"/>
    <col width="14" customWidth="1" min="4" max="4"/>
    <col width="14" customWidth="1" min="5" max="5"/>
    <col width="16" customWidth="1" min="6" max="6"/>
    <col width="20" customWidth="1" min="7" max="7"/>
    <col width="32" customWidth="1" min="8" max="8"/>
    <col width="16" customWidth="1" min="9" max="9"/>
  </cols>
  <sheetData>
    <row r="1">
      <c r="A1" s="1" t="inlineStr">
        <is>
          <t>PERMITS &amp; APPROVALS</t>
        </is>
      </c>
    </row>
    <row r="2">
      <c r="A2" s="2" t="inlineStr">
        <is>
          <t>Track each approval your build needs. Which ones apply depends on your city and project. Check with your local authority.</t>
        </is>
      </c>
    </row>
    <row r="3">
      <c r="A3" s="38" t="inlineStr">
        <is>
          <t>EXAMPLE RENOVATION: placeholder rates and quantities. These totals are NOT a real estimate.</t>
        </is>
      </c>
    </row>
    <row r="5" ht="34" customHeight="1">
      <c r="A5" s="5" t="inlineStr">
        <is>
          <t>Approval / permit</t>
        </is>
      </c>
      <c r="B5" s="5" t="inlineStr">
        <is>
          <t>Who issues it</t>
        </is>
      </c>
      <c r="C5" s="5" t="inlineStr">
        <is>
          <t>Needed for your project?</t>
        </is>
      </c>
      <c r="D5" s="5" t="inlineStr">
        <is>
          <t>Applied on</t>
        </is>
      </c>
      <c r="E5" s="5" t="inlineStr">
        <is>
          <t>Approved on</t>
        </is>
      </c>
      <c r="F5" s="5" t="inlineStr">
        <is>
          <t>Status</t>
        </is>
      </c>
      <c r="G5" s="5" t="inlineStr">
        <is>
          <t>Reference number</t>
        </is>
      </c>
      <c r="H5" s="5" t="inlineStr">
        <is>
          <t>Notes</t>
        </is>
      </c>
      <c r="I5" s="5" t="inlineStr">
        <is>
          <t>Fee (₹)</t>
        </is>
      </c>
    </row>
    <row r="6">
      <c r="A6" s="10" t="inlineStr">
        <is>
          <t>Building plan approval</t>
        </is>
      </c>
      <c r="B6" s="10" t="inlineStr">
        <is>
          <t>Local development / planning authority</t>
        </is>
      </c>
      <c r="C6" s="10" t="inlineStr">
        <is>
          <t>Check</t>
        </is>
      </c>
      <c r="D6" s="39" t="n"/>
      <c r="E6" s="39" t="n"/>
      <c r="F6" s="10" t="inlineStr">
        <is>
          <t>Not applied</t>
        </is>
      </c>
      <c r="G6" s="10" t="n"/>
      <c r="H6" s="10" t="n"/>
      <c r="I6" s="12" t="n"/>
    </row>
    <row r="7">
      <c r="A7" s="10" t="inlineStr">
        <is>
          <t>Building permit or commencement certificate</t>
        </is>
      </c>
      <c r="B7" s="10" t="inlineStr">
        <is>
          <t>Local development / planning authority</t>
        </is>
      </c>
      <c r="C7" s="10" t="inlineStr">
        <is>
          <t>Check</t>
        </is>
      </c>
      <c r="D7" s="39" t="n"/>
      <c r="E7" s="39" t="n"/>
      <c r="F7" s="10" t="inlineStr">
        <is>
          <t>Not applied</t>
        </is>
      </c>
      <c r="G7" s="10" t="n"/>
      <c r="H7" s="10" t="n"/>
      <c r="I7" s="12" t="n"/>
    </row>
    <row r="8">
      <c r="A8" s="10" t="inlineStr">
        <is>
          <t>Structural engineer's certificate</t>
        </is>
      </c>
      <c r="B8" s="10" t="inlineStr">
        <is>
          <t>Licensed structural engineer</t>
        </is>
      </c>
      <c r="C8" s="10" t="inlineStr">
        <is>
          <t>Check</t>
        </is>
      </c>
      <c r="D8" s="39" t="n"/>
      <c r="E8" s="39" t="n"/>
      <c r="F8" s="10" t="inlineStr">
        <is>
          <t>Not applied</t>
        </is>
      </c>
      <c r="G8" s="10" t="n"/>
      <c r="H8" s="10" t="n"/>
      <c r="I8" s="12" t="n"/>
    </row>
    <row r="9">
      <c r="A9" s="10" t="inlineStr">
        <is>
          <t>Soil test report</t>
        </is>
      </c>
      <c r="B9" s="10" t="inlineStr">
        <is>
          <t>Accredited soil testing lab</t>
        </is>
      </c>
      <c r="C9" s="10" t="inlineStr">
        <is>
          <t>Check</t>
        </is>
      </c>
      <c r="D9" s="39" t="n"/>
      <c r="E9" s="39" t="n"/>
      <c r="F9" s="10" t="inlineStr">
        <is>
          <t>Not applied</t>
        </is>
      </c>
      <c r="G9" s="10" t="n"/>
      <c r="H9" s="10" t="n"/>
      <c r="I9" s="12" t="n"/>
    </row>
    <row r="10">
      <c r="A10" s="10" t="inlineStr">
        <is>
          <t>Water connection</t>
        </is>
      </c>
      <c r="B10" s="10" t="inlineStr">
        <is>
          <t>Local water supply authority</t>
        </is>
      </c>
      <c r="C10" s="10" t="inlineStr">
        <is>
          <t>Check</t>
        </is>
      </c>
      <c r="D10" s="39" t="n"/>
      <c r="E10" s="39" t="n"/>
      <c r="F10" s="10" t="inlineStr">
        <is>
          <t>Not applied</t>
        </is>
      </c>
      <c r="G10" s="10" t="n"/>
      <c r="H10" s="10" t="n"/>
      <c r="I10" s="12" t="n"/>
    </row>
    <row r="11">
      <c r="A11" s="10" t="inlineStr">
        <is>
          <t>Sewer connection</t>
        </is>
      </c>
      <c r="B11" s="10" t="inlineStr">
        <is>
          <t>Local sewerage authority</t>
        </is>
      </c>
      <c r="C11" s="10" t="inlineStr">
        <is>
          <t>Check</t>
        </is>
      </c>
      <c r="D11" s="39" t="n"/>
      <c r="E11" s="39" t="n"/>
      <c r="F11" s="10" t="inlineStr">
        <is>
          <t>Not applied</t>
        </is>
      </c>
      <c r="G11" s="10" t="n"/>
      <c r="H11" s="10" t="n"/>
      <c r="I11" s="12" t="n"/>
    </row>
    <row r="12">
      <c r="A12" s="10" t="inlineStr">
        <is>
          <t>Temporary electricity connection</t>
        </is>
      </c>
      <c r="B12" s="10" t="inlineStr">
        <is>
          <t>Electricity distribution company</t>
        </is>
      </c>
      <c r="C12" s="10" t="inlineStr">
        <is>
          <t>Check</t>
        </is>
      </c>
      <c r="D12" s="39" t="n"/>
      <c r="E12" s="39" t="n"/>
      <c r="F12" s="10" t="inlineStr">
        <is>
          <t>Not applied</t>
        </is>
      </c>
      <c r="G12" s="10" t="n"/>
      <c r="H12" s="10" t="n"/>
      <c r="I12" s="12" t="n"/>
    </row>
    <row r="13">
      <c r="A13" s="10" t="inlineStr">
        <is>
          <t>Permanent electricity connection</t>
        </is>
      </c>
      <c r="B13" s="10" t="inlineStr">
        <is>
          <t>Electricity distribution company</t>
        </is>
      </c>
      <c r="C13" s="10" t="inlineStr">
        <is>
          <t>Check</t>
        </is>
      </c>
      <c r="D13" s="39" t="n"/>
      <c r="E13" s="39" t="n"/>
      <c r="F13" s="10" t="inlineStr">
        <is>
          <t>Not applied</t>
        </is>
      </c>
      <c r="G13" s="10" t="n"/>
      <c r="H13" s="10" t="n"/>
      <c r="I13" s="12" t="n"/>
    </row>
    <row r="14">
      <c r="A14" s="10" t="inlineStr">
        <is>
          <t>Occupancy / completion certificate</t>
        </is>
      </c>
      <c r="B14" s="10" t="inlineStr">
        <is>
          <t>Local development / planning authority</t>
        </is>
      </c>
      <c r="C14" s="10" t="inlineStr">
        <is>
          <t>Check</t>
        </is>
      </c>
      <c r="D14" s="39" t="n"/>
      <c r="E14" s="39" t="n"/>
      <c r="F14" s="10" t="inlineStr">
        <is>
          <t>Not applied</t>
        </is>
      </c>
      <c r="G14" s="10" t="n"/>
      <c r="H14" s="10" t="n"/>
      <c r="I14" s="12" t="n"/>
    </row>
    <row r="15">
      <c r="A15" s="10" t="inlineStr">
        <is>
          <t>Property tax registration</t>
        </is>
      </c>
      <c r="B15" s="10" t="inlineStr">
        <is>
          <t>Local municipal body</t>
        </is>
      </c>
      <c r="C15" s="10" t="inlineStr">
        <is>
          <t>Check</t>
        </is>
      </c>
      <c r="D15" s="39" t="n"/>
      <c r="E15" s="39" t="n"/>
      <c r="F15" s="10" t="inlineStr">
        <is>
          <t>Not applied</t>
        </is>
      </c>
      <c r="G15" s="10" t="n"/>
      <c r="H15" s="10" t="n"/>
      <c r="I15" s="12" t="n"/>
    </row>
    <row r="16">
      <c r="A16" s="10" t="n"/>
      <c r="B16" s="10" t="n"/>
      <c r="C16" s="10" t="n"/>
      <c r="D16" s="39" t="n"/>
      <c r="E16" s="39" t="n"/>
      <c r="F16" s="10" t="n"/>
      <c r="G16" s="10" t="n"/>
      <c r="H16" s="10" t="n"/>
      <c r="I16" s="12" t="n"/>
    </row>
    <row r="17">
      <c r="A17" s="10" t="n"/>
      <c r="B17" s="10" t="n"/>
      <c r="C17" s="10" t="n"/>
      <c r="D17" s="39" t="n"/>
      <c r="E17" s="39" t="n"/>
      <c r="F17" s="10" t="n"/>
      <c r="G17" s="10" t="n"/>
      <c r="H17" s="10" t="n"/>
      <c r="I17" s="12" t="n"/>
    </row>
    <row r="18">
      <c r="A18" s="10" t="n"/>
      <c r="B18" s="10" t="n"/>
      <c r="C18" s="10" t="n"/>
      <c r="D18" s="39" t="n"/>
      <c r="E18" s="39" t="n"/>
      <c r="F18" s="10" t="n"/>
      <c r="G18" s="10" t="n"/>
      <c r="H18" s="10" t="n"/>
      <c r="I18" s="12" t="n"/>
    </row>
    <row r="19">
      <c r="A19" s="10" t="n"/>
      <c r="B19" s="10" t="n"/>
      <c r="C19" s="10" t="n"/>
      <c r="D19" s="39" t="n"/>
      <c r="E19" s="39" t="n"/>
      <c r="F19" s="10" t="n"/>
      <c r="G19" s="10" t="n"/>
      <c r="H19" s="10" t="n"/>
      <c r="I19" s="12" t="n"/>
    </row>
    <row r="20">
      <c r="A20" s="10" t="n"/>
      <c r="B20" s="10" t="n"/>
      <c r="C20" s="10" t="n"/>
      <c r="D20" s="39" t="n"/>
      <c r="E20" s="39" t="n"/>
      <c r="F20" s="10" t="n"/>
      <c r="G20" s="10" t="n"/>
      <c r="H20" s="10" t="n"/>
      <c r="I20" s="12" t="n"/>
    </row>
    <row r="21">
      <c r="A21" s="10" t="n"/>
      <c r="B21" s="10" t="n"/>
      <c r="C21" s="10" t="n"/>
      <c r="D21" s="39" t="n"/>
      <c r="E21" s="39" t="n"/>
      <c r="F21" s="10" t="n"/>
      <c r="G21" s="10" t="n"/>
      <c r="H21" s="10" t="n"/>
      <c r="I21" s="12" t="n"/>
    </row>
    <row r="22">
      <c r="A22" s="10" t="n"/>
      <c r="B22" s="10" t="n"/>
      <c r="C22" s="10" t="n"/>
      <c r="D22" s="39" t="n"/>
      <c r="E22" s="39" t="n"/>
      <c r="F22" s="10" t="n"/>
      <c r="G22" s="10" t="n"/>
      <c r="H22" s="10" t="n"/>
      <c r="I22" s="12" t="n"/>
    </row>
    <row r="23">
      <c r="A23" s="10" t="n"/>
      <c r="B23" s="10" t="n"/>
      <c r="C23" s="10" t="n"/>
      <c r="D23" s="39" t="n"/>
      <c r="E23" s="39" t="n"/>
      <c r="F23" s="10" t="n"/>
      <c r="G23" s="10" t="n"/>
      <c r="H23" s="10" t="n"/>
      <c r="I23" s="12" t="n"/>
    </row>
    <row r="24">
      <c r="A24" s="10" t="n"/>
      <c r="B24" s="10" t="n"/>
      <c r="C24" s="10" t="n"/>
      <c r="D24" s="39" t="n"/>
      <c r="E24" s="39" t="n"/>
      <c r="F24" s="10" t="n"/>
      <c r="G24" s="10" t="n"/>
      <c r="H24" s="10" t="n"/>
      <c r="I24" s="12" t="n"/>
    </row>
    <row r="25">
      <c r="A25" s="10" t="n"/>
      <c r="B25" s="10" t="n"/>
      <c r="C25" s="10" t="n"/>
      <c r="D25" s="39" t="n"/>
      <c r="E25" s="39" t="n"/>
      <c r="F25" s="10" t="n"/>
      <c r="G25" s="10" t="n"/>
      <c r="H25" s="10" t="n"/>
      <c r="I25" s="12" t="n"/>
    </row>
    <row r="26">
      <c r="A26" s="9" t="inlineStr">
        <is>
          <t>TOTAL FEES AND APPROVAL COSTS</t>
        </is>
      </c>
      <c r="I26" s="24">
        <f>SUM(I6:I25)</f>
        <v/>
      </c>
    </row>
    <row r="27">
      <c r="A27" s="13" t="inlineStr">
        <is>
          <t>Check with your engineer and local authority which approvals must come before work starts. Local rules decide the order.</t>
        </is>
      </c>
    </row>
    <row r="28">
      <c r="A28" s="13" t="inlineStr">
        <is>
          <t>These are the usual approvals, not a legal list. Your local authority decides what applies to your plot.</t>
        </is>
      </c>
    </row>
  </sheetData>
  <sheetProtection selectLockedCells="0" selectUnlockedCells="0" sheet="1" objects="0" insertRows="1" insertHyperlinks="1" autoFilter="1" scenarios="0" formatColumns="0" deleteColumns="1" insertColumns="1" pivotTables="1" deleteRows="1" formatCells="0" formatRows="0" sort="1"/>
  <conditionalFormatting sqref="F6:F25">
    <cfRule type="expression" priority="1" dxfId="0">
      <formula>$F6="Rejected"</formula>
    </cfRule>
  </conditionalFormatting>
  <dataValidations count="2">
    <dataValidation sqref="C6 C7 C8 C9 C10 C11 C12 C13 C14 C15 C16 C17 C18 C19 C20 C21 C22 C23 C24 C25" showDropDown="0" showInputMessage="0" showErrorMessage="0" allowBlank="1" type="list">
      <formula1>"Yes,No,Check"</formula1>
    </dataValidation>
    <dataValidation sqref="F6 F7 F8 F9 F10 F11 F12 F13 F14 F15 F16 F17 F18 F19 F20 F21 F22 F23 F24 F25" showDropDown="0" showInputMessage="0" showErrorMessage="0" allowBlank="1" type="list">
      <formula1>"Not applied,Applied,Approved,Rejected,Not needed"</formula1>
    </dataValidation>
  </dataValidations>
  <pageMargins left="0.75" right="0.75" top="1" bottom="1" header="0.5" footer="0.5"/>
</worksheet>
</file>

<file path=xl/worksheets/sheet20.xml><?xml version="1.0" encoding="utf-8"?>
<worksheet xmlns="http://schemas.openxmlformats.org/spreadsheetml/2006/main">
  <sheetPr>
    <tabColor rgb="002F5D50"/>
    <outlinePr summaryBelow="1" summaryRight="1"/>
    <pageSetUpPr/>
  </sheetPr>
  <dimension ref="A1:E24"/>
  <sheetViews>
    <sheetView showGridLines="0" workbookViewId="0">
      <selection activeCell="A1" sqref="A1"/>
    </sheetView>
  </sheetViews>
  <sheetFormatPr baseColWidth="8" defaultRowHeight="15"/>
  <cols>
    <col width="28" customWidth="1" min="1" max="1"/>
    <col width="18" customWidth="1" min="2" max="2"/>
    <col width="16" customWidth="1" min="3" max="3"/>
    <col width="36" customWidth="1" min="4" max="4"/>
    <col width="16" customWidth="1" min="5" max="5"/>
  </cols>
  <sheetData>
    <row r="1">
      <c r="A1" s="1" t="inlineStr">
        <is>
          <t>RATES</t>
        </is>
      </c>
    </row>
    <row r="2">
      <c r="A2" s="2" t="inlineStr">
        <is>
          <t>Type in your local rates. Blank rates show zero cost until you enter them.</t>
        </is>
      </c>
    </row>
    <row r="3">
      <c r="A3" s="38" t="inlineStr">
        <is>
          <t>EXAMPLE RENOVATION: placeholder rates and quantities. These totals are NOT a real estimate.</t>
        </is>
      </c>
    </row>
    <row r="4" ht="34" customHeight="1">
      <c r="A4" s="5" t="inlineStr">
        <is>
          <t>Item</t>
        </is>
      </c>
      <c r="B4" s="5" t="inlineStr">
        <is>
          <t>Unit</t>
        </is>
      </c>
      <c r="C4" s="5" t="inlineStr">
        <is>
          <t>Your rate (₹)</t>
        </is>
      </c>
      <c r="D4" s="5" t="inlineStr">
        <is>
          <t>Supplier / source</t>
        </is>
      </c>
      <c r="E4" s="5" t="inlineStr">
        <is>
          <t>Date updated</t>
        </is>
      </c>
    </row>
    <row r="6">
      <c r="A6" s="9" t="inlineStr">
        <is>
          <t>Cement</t>
        </is>
      </c>
      <c r="B6" s="13" t="inlineStr">
        <is>
          <t>per 50 kg bag</t>
        </is>
      </c>
      <c r="C6" s="12" t="n">
        <v>600</v>
      </c>
      <c r="D6" s="10" t="inlineStr">
        <is>
          <t>Sample figure, not a quote</t>
        </is>
      </c>
      <c r="E6" s="39" t="n"/>
    </row>
    <row r="7">
      <c r="A7" s="9" t="inlineStr">
        <is>
          <t>M-sand</t>
        </is>
      </c>
      <c r="B7" s="13" t="inlineStr">
        <is>
          <t>per cu ft</t>
        </is>
      </c>
      <c r="C7" s="12" t="n">
        <v>60</v>
      </c>
      <c r="D7" s="10" t="inlineStr">
        <is>
          <t>Sample figure, not a quote</t>
        </is>
      </c>
      <c r="E7" s="39" t="n"/>
    </row>
    <row r="8">
      <c r="A8" s="9" t="inlineStr">
        <is>
          <t>20 mm aggregate</t>
        </is>
      </c>
      <c r="B8" s="13" t="inlineStr">
        <is>
          <t>per cu ft</t>
        </is>
      </c>
      <c r="C8" s="12" t="n">
        <v>70</v>
      </c>
      <c r="D8" s="10" t="inlineStr">
        <is>
          <t>Sample figure, not a quote</t>
        </is>
      </c>
      <c r="E8" s="39" t="n"/>
    </row>
    <row r="9">
      <c r="A9" s="9" t="inlineStr">
        <is>
          <t>Red clay brick</t>
        </is>
      </c>
      <c r="B9" s="13" t="inlineStr">
        <is>
          <t>per piece</t>
        </is>
      </c>
      <c r="C9" s="12" t="n">
        <v>9</v>
      </c>
      <c r="D9" s="10" t="inlineStr">
        <is>
          <t>Sample figure, not a quote</t>
        </is>
      </c>
      <c r="E9" s="39" t="n"/>
    </row>
    <row r="10">
      <c r="A10" s="9" t="inlineStr">
        <is>
          <t>AAC block</t>
        </is>
      </c>
      <c r="B10" s="13" t="inlineStr">
        <is>
          <t>per piece</t>
        </is>
      </c>
      <c r="C10" s="12" t="n">
        <v>80</v>
      </c>
      <c r="D10" s="10" t="inlineStr">
        <is>
          <t>Sample figure, not a quote</t>
        </is>
      </c>
      <c r="E10" s="39" t="n"/>
    </row>
    <row r="11">
      <c r="A11" s="9" t="inlineStr">
        <is>
          <t>TMT steel</t>
        </is>
      </c>
      <c r="B11" s="13" t="inlineStr">
        <is>
          <t>per kg</t>
        </is>
      </c>
      <c r="C11" s="12" t="n">
        <v>75</v>
      </c>
      <c r="D11" s="10" t="inlineStr">
        <is>
          <t>Sample figure, not a quote</t>
        </is>
      </c>
      <c r="E11" s="39" t="n"/>
    </row>
    <row r="12">
      <c r="A12" s="9" t="inlineStr">
        <is>
          <t>Interior paint</t>
        </is>
      </c>
      <c r="B12" s="13" t="inlineStr">
        <is>
          <t>per litre</t>
        </is>
      </c>
      <c r="C12" s="12" t="n">
        <v>350</v>
      </c>
      <c r="D12" s="10" t="inlineStr">
        <is>
          <t>Sample figure, not a quote</t>
        </is>
      </c>
      <c r="E12" s="39" t="n"/>
    </row>
    <row r="13">
      <c r="A13" s="9" t="inlineStr">
        <is>
          <t>Floor tile</t>
        </is>
      </c>
      <c r="B13" s="13" t="inlineStr">
        <is>
          <t>per sq ft</t>
        </is>
      </c>
      <c r="C13" s="12" t="n">
        <v>40</v>
      </c>
      <c r="D13" s="10" t="inlineStr">
        <is>
          <t>Sample figure, not a quote</t>
        </is>
      </c>
      <c r="E13" s="39" t="n"/>
    </row>
    <row r="14">
      <c r="A14" s="9" t="inlineStr">
        <is>
          <t>Concrete labour</t>
        </is>
      </c>
      <c r="B14" s="13" t="inlineStr">
        <is>
          <t>per cu ft</t>
        </is>
      </c>
      <c r="C14" s="12" t="n">
        <v>50</v>
      </c>
      <c r="D14" s="10" t="inlineStr">
        <is>
          <t>Sample figure, not a quote</t>
        </is>
      </c>
      <c r="E14" s="39" t="n"/>
    </row>
    <row r="15">
      <c r="A15" s="9" t="inlineStr">
        <is>
          <t>Masonry labour</t>
        </is>
      </c>
      <c r="B15" s="13" t="inlineStr">
        <is>
          <t>per sq ft</t>
        </is>
      </c>
      <c r="C15" s="12" t="n">
        <v>120</v>
      </c>
      <c r="D15" s="10" t="inlineStr">
        <is>
          <t>Sample figure, not a quote</t>
        </is>
      </c>
      <c r="E15" s="39" t="n"/>
    </row>
    <row r="16">
      <c r="A16" s="9" t="inlineStr">
        <is>
          <t>Excavation</t>
        </is>
      </c>
      <c r="B16" s="13" t="inlineStr">
        <is>
          <t>per cu ft</t>
        </is>
      </c>
      <c r="C16" s="12" t="n">
        <v>35</v>
      </c>
      <c r="D16" s="10" t="inlineStr">
        <is>
          <t>Sample figure, not a quote</t>
        </is>
      </c>
      <c r="E16" s="39" t="n"/>
    </row>
    <row r="17">
      <c r="A17" s="9" t="inlineStr">
        <is>
          <t>Exterior paint</t>
        </is>
      </c>
      <c r="B17" s="13" t="inlineStr">
        <is>
          <t>per litre</t>
        </is>
      </c>
      <c r="C17" s="12" t="n">
        <v>350</v>
      </c>
      <c r="D17" s="10" t="inlineStr">
        <is>
          <t>Sample figure, not a quote</t>
        </is>
      </c>
      <c r="E17" s="39" t="n"/>
    </row>
    <row r="18">
      <c r="A18" s="9" t="inlineStr">
        <is>
          <t>Roof waterproofing, material and labour</t>
        </is>
      </c>
      <c r="B18" s="13" t="inlineStr">
        <is>
          <t>per sq ft of roof</t>
        </is>
      </c>
      <c r="C18" s="12" t="n">
        <v>45</v>
      </c>
      <c r="D18" s="10" t="inlineStr">
        <is>
          <t>Sample figure, not a quote</t>
        </is>
      </c>
      <c r="E18" s="39" t="n"/>
    </row>
    <row r="19">
      <c r="A19" s="9" t="inlineStr">
        <is>
          <t>Plaster labour</t>
        </is>
      </c>
      <c r="B19" s="13" t="inlineStr">
        <is>
          <t>per sq ft of plaster</t>
        </is>
      </c>
      <c r="C19" s="12" t="n">
        <v>12</v>
      </c>
      <c r="D19" s="10" t="inlineStr">
        <is>
          <t>Sample figure, not a quote</t>
        </is>
      </c>
      <c r="E19" s="39" t="n"/>
    </row>
    <row r="20">
      <c r="A20" s="9" t="inlineStr">
        <is>
          <t>Painting labour</t>
        </is>
      </c>
      <c r="B20" s="13" t="inlineStr">
        <is>
          <t>per sq ft of wall</t>
        </is>
      </c>
      <c r="C20" s="12" t="n">
        <v>8</v>
      </c>
      <c r="D20" s="10" t="inlineStr">
        <is>
          <t>Sample figure, not a quote</t>
        </is>
      </c>
      <c r="E20" s="39" t="n"/>
    </row>
    <row r="21">
      <c r="A21" s="9" t="inlineStr">
        <is>
          <t>Tile laying labour</t>
        </is>
      </c>
      <c r="B21" s="13" t="inlineStr">
        <is>
          <t>per sq ft of floor</t>
        </is>
      </c>
      <c r="C21" s="12" t="n">
        <v>10</v>
      </c>
      <c r="D21" s="10" t="inlineStr">
        <is>
          <t>Sample figure, not a quote</t>
        </is>
      </c>
      <c r="E21" s="39" t="n"/>
    </row>
    <row r="23">
      <c r="A23" s="13" t="inlineStr">
        <is>
          <t>Tip: get quotes from at least two suppliers. The Rate Library can store them.</t>
        </is>
      </c>
    </row>
    <row r="24">
      <c r="A24" s="38" t="inlineStr">
        <is>
          <t>EXAMPLE FILE: every rate above is a placeholder to show how the file works. Replace all of them with your own quotes.</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1.xml><?xml version="1.0" encoding="utf-8"?>
<worksheet xmlns="http://schemas.openxmlformats.org/spreadsheetml/2006/main">
  <sheetPr>
    <tabColor rgb="002F5D50"/>
    <outlinePr summaryBelow="1" summaryRight="1"/>
    <pageSetUpPr/>
  </sheetPr>
  <dimension ref="A1:I23"/>
  <sheetViews>
    <sheetView showGridLines="0" workbookViewId="0">
      <pane ySplit="5" topLeftCell="A6" activePane="bottomLeft" state="frozen"/>
      <selection pane="bottomLeft" activeCell="A1" sqref="A1"/>
    </sheetView>
  </sheetViews>
  <sheetFormatPr baseColWidth="8" defaultRowHeight="15"/>
  <cols>
    <col width="28" customWidth="1" min="1" max="1"/>
    <col width="20" customWidth="1" min="2" max="2"/>
    <col width="18" customWidth="1" min="3" max="3"/>
    <col width="14" customWidth="1" min="4" max="4"/>
    <col width="22" customWidth="1" min="5" max="5"/>
    <col width="18" customWidth="1" min="6" max="6"/>
    <col width="14" customWidth="1" min="7" max="7"/>
    <col width="22" customWidth="1" min="8" max="8"/>
    <col width="24" customWidth="1" min="9" max="9"/>
  </cols>
  <sheetData>
    <row r="1">
      <c r="A1" s="1" t="inlineStr">
        <is>
          <t>RATE QUOTES</t>
        </is>
      </c>
    </row>
    <row r="2">
      <c r="A2" s="2" t="inlineStr">
        <is>
          <t>Compare two supplier quotes for each item. Only compare quotes that cover the same delivery and loading terms.</t>
        </is>
      </c>
    </row>
    <row r="3">
      <c r="A3" s="38" t="inlineStr">
        <is>
          <t>EXAMPLE RENOVATION: placeholder rates and quantities. These totals are NOT a real estimate.</t>
        </is>
      </c>
    </row>
    <row r="5" ht="34" customHeight="1">
      <c r="A5" s="5" t="inlineStr">
        <is>
          <t>Item</t>
        </is>
      </c>
      <c r="B5" s="5" t="inlineStr">
        <is>
          <t>Unit (as on Rates tab)</t>
        </is>
      </c>
      <c r="C5" s="5" t="inlineStr">
        <is>
          <t>Supplier A</t>
        </is>
      </c>
      <c r="D5" s="5" t="inlineStr">
        <is>
          <t>Rate A (₹)</t>
        </is>
      </c>
      <c r="E5" s="5" t="inlineStr">
        <is>
          <t>A includes delivery and loading? (Yes/No)</t>
        </is>
      </c>
      <c r="F5" s="5" t="inlineStr">
        <is>
          <t>Supplier B</t>
        </is>
      </c>
      <c r="G5" s="5" t="inlineStr">
        <is>
          <t>Rate B (₹)</t>
        </is>
      </c>
      <c r="H5" s="5" t="inlineStr">
        <is>
          <t>B includes delivery and loading? (Yes/No)</t>
        </is>
      </c>
      <c r="I5" s="5" t="inlineStr">
        <is>
          <t>Lower rate, same terms (₹)</t>
        </is>
      </c>
    </row>
    <row r="6">
      <c r="A6" s="9" t="inlineStr">
        <is>
          <t>Cement</t>
        </is>
      </c>
      <c r="B6" s="13" t="inlineStr">
        <is>
          <t>per 50 kg bag</t>
        </is>
      </c>
      <c r="C6" s="10" t="n"/>
      <c r="D6" s="12" t="n"/>
      <c r="E6" s="10" t="n"/>
      <c r="F6" s="10" t="n"/>
      <c r="G6" s="12" t="n"/>
      <c r="H6" s="10" t="n"/>
      <c r="I6" s="24">
        <f>IF(COUNT(D6,G6)&lt;2,"",IF(E6=H6,MIN(D6,G6),"Terms differ: ask both for the same terms"))</f>
        <v/>
      </c>
    </row>
    <row r="7">
      <c r="A7" s="9" t="inlineStr">
        <is>
          <t>M-sand</t>
        </is>
      </c>
      <c r="B7" s="13" t="inlineStr">
        <is>
          <t>per cu ft</t>
        </is>
      </c>
      <c r="C7" s="10" t="n"/>
      <c r="D7" s="12" t="n"/>
      <c r="E7" s="10" t="n"/>
      <c r="F7" s="10" t="n"/>
      <c r="G7" s="12" t="n"/>
      <c r="H7" s="10" t="n"/>
      <c r="I7" s="24">
        <f>IF(COUNT(D7,G7)&lt;2,"",IF(E7=H7,MIN(D7,G7),"Terms differ: ask both for the same terms"))</f>
        <v/>
      </c>
    </row>
    <row r="8">
      <c r="A8" s="9" t="inlineStr">
        <is>
          <t>20 mm aggregate</t>
        </is>
      </c>
      <c r="B8" s="13" t="inlineStr">
        <is>
          <t>per cu ft</t>
        </is>
      </c>
      <c r="C8" s="10" t="n"/>
      <c r="D8" s="12" t="n"/>
      <c r="E8" s="10" t="n"/>
      <c r="F8" s="10" t="n"/>
      <c r="G8" s="12" t="n"/>
      <c r="H8" s="10" t="n"/>
      <c r="I8" s="24">
        <f>IF(COUNT(D8,G8)&lt;2,"",IF(E8=H8,MIN(D8,G8),"Terms differ: ask both for the same terms"))</f>
        <v/>
      </c>
    </row>
    <row r="9">
      <c r="A9" s="9" t="inlineStr">
        <is>
          <t>Red clay brick</t>
        </is>
      </c>
      <c r="B9" s="13" t="inlineStr">
        <is>
          <t>per piece</t>
        </is>
      </c>
      <c r="C9" s="10" t="n"/>
      <c r="D9" s="12" t="n"/>
      <c r="E9" s="10" t="n"/>
      <c r="F9" s="10" t="n"/>
      <c r="G9" s="12" t="n"/>
      <c r="H9" s="10" t="n"/>
      <c r="I9" s="24">
        <f>IF(COUNT(D9,G9)&lt;2,"",IF(E9=H9,MIN(D9,G9),"Terms differ: ask both for the same terms"))</f>
        <v/>
      </c>
    </row>
    <row r="10">
      <c r="A10" s="9" t="inlineStr">
        <is>
          <t>AAC block</t>
        </is>
      </c>
      <c r="B10" s="13" t="inlineStr">
        <is>
          <t>per piece</t>
        </is>
      </c>
      <c r="C10" s="10" t="n"/>
      <c r="D10" s="12" t="n"/>
      <c r="E10" s="10" t="n"/>
      <c r="F10" s="10" t="n"/>
      <c r="G10" s="12" t="n"/>
      <c r="H10" s="10" t="n"/>
      <c r="I10" s="24">
        <f>IF(COUNT(D10,G10)&lt;2,"",IF(E10=H10,MIN(D10,G10),"Terms differ: ask both for the same terms"))</f>
        <v/>
      </c>
    </row>
    <row r="11">
      <c r="A11" s="9" t="inlineStr">
        <is>
          <t>TMT steel</t>
        </is>
      </c>
      <c r="B11" s="13" t="inlineStr">
        <is>
          <t>per kg</t>
        </is>
      </c>
      <c r="C11" s="10" t="n"/>
      <c r="D11" s="12" t="n"/>
      <c r="E11" s="10" t="n"/>
      <c r="F11" s="10" t="n"/>
      <c r="G11" s="12" t="n"/>
      <c r="H11" s="10" t="n"/>
      <c r="I11" s="24">
        <f>IF(COUNT(D11,G11)&lt;2,"",IF(E11=H11,MIN(D11,G11),"Terms differ: ask both for the same terms"))</f>
        <v/>
      </c>
    </row>
    <row r="12">
      <c r="A12" s="9" t="inlineStr">
        <is>
          <t>Interior paint</t>
        </is>
      </c>
      <c r="B12" s="13" t="inlineStr">
        <is>
          <t>per litre</t>
        </is>
      </c>
      <c r="C12" s="10" t="n"/>
      <c r="D12" s="12" t="n"/>
      <c r="E12" s="10" t="n"/>
      <c r="F12" s="10" t="n"/>
      <c r="G12" s="12" t="n"/>
      <c r="H12" s="10" t="n"/>
      <c r="I12" s="24">
        <f>IF(COUNT(D12,G12)&lt;2,"",IF(E12=H12,MIN(D12,G12),"Terms differ: ask both for the same terms"))</f>
        <v/>
      </c>
    </row>
    <row r="13">
      <c r="A13" s="9" t="inlineStr">
        <is>
          <t>Floor tile</t>
        </is>
      </c>
      <c r="B13" s="13" t="inlineStr">
        <is>
          <t>per sq ft</t>
        </is>
      </c>
      <c r="C13" s="10" t="n"/>
      <c r="D13" s="12" t="n"/>
      <c r="E13" s="10" t="n"/>
      <c r="F13" s="10" t="n"/>
      <c r="G13" s="12" t="n"/>
      <c r="H13" s="10" t="n"/>
      <c r="I13" s="24">
        <f>IF(COUNT(D13,G13)&lt;2,"",IF(E13=H13,MIN(D13,G13),"Terms differ: ask both for the same terms"))</f>
        <v/>
      </c>
    </row>
    <row r="14">
      <c r="A14" s="9" t="inlineStr">
        <is>
          <t>Concrete labour</t>
        </is>
      </c>
      <c r="B14" s="13" t="inlineStr">
        <is>
          <t>per cu ft</t>
        </is>
      </c>
      <c r="C14" s="10" t="n"/>
      <c r="D14" s="12" t="n"/>
      <c r="E14" s="10" t="n"/>
      <c r="F14" s="10" t="n"/>
      <c r="G14" s="12" t="n"/>
      <c r="H14" s="10" t="n"/>
      <c r="I14" s="24">
        <f>IF(COUNT(D14,G14)&lt;2,"",IF(E14=H14,MIN(D14,G14),"Terms differ: ask both for the same terms"))</f>
        <v/>
      </c>
    </row>
    <row r="15">
      <c r="A15" s="9" t="inlineStr">
        <is>
          <t>Masonry labour</t>
        </is>
      </c>
      <c r="B15" s="13" t="inlineStr">
        <is>
          <t>per sq ft</t>
        </is>
      </c>
      <c r="C15" s="10" t="n"/>
      <c r="D15" s="12" t="n"/>
      <c r="E15" s="10" t="n"/>
      <c r="F15" s="10" t="n"/>
      <c r="G15" s="12" t="n"/>
      <c r="H15" s="10" t="n"/>
      <c r="I15" s="24">
        <f>IF(COUNT(D15,G15)&lt;2,"",IF(E15=H15,MIN(D15,G15),"Terms differ: ask both for the same terms"))</f>
        <v/>
      </c>
    </row>
    <row r="16">
      <c r="A16" s="9" t="inlineStr">
        <is>
          <t>Excavation</t>
        </is>
      </c>
      <c r="B16" s="13" t="inlineStr">
        <is>
          <t>per cu ft</t>
        </is>
      </c>
      <c r="C16" s="10" t="n"/>
      <c r="D16" s="12" t="n"/>
      <c r="E16" s="10" t="n"/>
      <c r="F16" s="10" t="n"/>
      <c r="G16" s="12" t="n"/>
      <c r="H16" s="10" t="n"/>
      <c r="I16" s="24">
        <f>IF(COUNT(D16,G16)&lt;2,"",IF(E16=H16,MIN(D16,G16),"Terms differ: ask both for the same terms"))</f>
        <v/>
      </c>
    </row>
    <row r="17">
      <c r="A17" s="9" t="inlineStr">
        <is>
          <t>Exterior paint</t>
        </is>
      </c>
      <c r="B17" s="13" t="inlineStr">
        <is>
          <t>per litre</t>
        </is>
      </c>
      <c r="C17" s="10" t="n"/>
      <c r="D17" s="12" t="n"/>
      <c r="E17" s="10" t="n"/>
      <c r="F17" s="10" t="n"/>
      <c r="G17" s="12" t="n"/>
      <c r="H17" s="10" t="n"/>
      <c r="I17" s="24">
        <f>IF(COUNT(D17,G17)&lt;2,"",IF(E17=H17,MIN(D17,G17),"Terms differ: ask both for the same terms"))</f>
        <v/>
      </c>
    </row>
    <row r="18">
      <c r="A18" s="9" t="inlineStr">
        <is>
          <t>Roof waterproofing, material and labour</t>
        </is>
      </c>
      <c r="B18" s="13" t="inlineStr">
        <is>
          <t>per sq ft of roof</t>
        </is>
      </c>
      <c r="C18" s="10" t="n"/>
      <c r="D18" s="12" t="n"/>
      <c r="E18" s="10" t="n"/>
      <c r="F18" s="10" t="n"/>
      <c r="G18" s="12" t="n"/>
      <c r="H18" s="10" t="n"/>
      <c r="I18" s="24">
        <f>IF(COUNT(D18,G18)&lt;2,"",IF(E18=H18,MIN(D18,G18),"Terms differ: ask both for the same terms"))</f>
        <v/>
      </c>
    </row>
    <row r="19">
      <c r="A19" s="9" t="inlineStr">
        <is>
          <t>Plaster labour</t>
        </is>
      </c>
      <c r="B19" s="13" t="inlineStr">
        <is>
          <t>per sq ft of plaster</t>
        </is>
      </c>
      <c r="C19" s="10" t="n"/>
      <c r="D19" s="12" t="n"/>
      <c r="E19" s="10" t="n"/>
      <c r="F19" s="10" t="n"/>
      <c r="G19" s="12" t="n"/>
      <c r="H19" s="10" t="n"/>
      <c r="I19" s="24">
        <f>IF(COUNT(D19,G19)&lt;2,"",IF(E19=H19,MIN(D19,G19),"Terms differ: ask both for the same terms"))</f>
        <v/>
      </c>
    </row>
    <row r="20">
      <c r="A20" s="9" t="inlineStr">
        <is>
          <t>Painting labour</t>
        </is>
      </c>
      <c r="B20" s="13" t="inlineStr">
        <is>
          <t>per sq ft of wall</t>
        </is>
      </c>
      <c r="C20" s="10" t="n"/>
      <c r="D20" s="12" t="n"/>
      <c r="E20" s="10" t="n"/>
      <c r="F20" s="10" t="n"/>
      <c r="G20" s="12" t="n"/>
      <c r="H20" s="10" t="n"/>
      <c r="I20" s="24">
        <f>IF(COUNT(D20,G20)&lt;2,"",IF(E20=H20,MIN(D20,G20),"Terms differ: ask both for the same terms"))</f>
        <v/>
      </c>
    </row>
    <row r="21">
      <c r="A21" s="9" t="inlineStr">
        <is>
          <t>Tile laying labour</t>
        </is>
      </c>
      <c r="B21" s="13" t="inlineStr">
        <is>
          <t>per sq ft of floor</t>
        </is>
      </c>
      <c r="C21" s="10" t="n"/>
      <c r="D21" s="12" t="n"/>
      <c r="E21" s="10" t="n"/>
      <c r="F21" s="10" t="n"/>
      <c r="G21" s="12" t="n"/>
      <c r="H21" s="10" t="n"/>
      <c r="I21" s="24">
        <f>IF(COUNT(D21,G21)&lt;2,"",IF(E21=H21,MIN(D21,G21),"Terms differ: ask both for the same terms"))</f>
        <v/>
      </c>
    </row>
    <row r="23">
      <c r="A23" s="13" t="inlineStr">
        <is>
          <t>Copy the lower rate from column I to the Rates tab, and record the supplier and date there.</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E6 E7 E8 E9 E10 E11 E12 E13 E14 E15 E16 E17 E18 E19 E20 E21 H6 H7 H8 H9 H10 H11 H12 H13 H14 H15 H16 H17 H18 H19 H20 H21" showDropDown="0" showInputMessage="0" showErrorMessage="0" allowBlank="1" type="list">
      <formula1>"Yes,No"</formula1>
    </dataValidation>
  </dataValidations>
  <pageMargins left="0.75" right="0.75" top="1" bottom="1" header="0.5" footer="0.5"/>
</worksheet>
</file>

<file path=xl/worksheets/sheet22.xml><?xml version="1.0" encoding="utf-8"?>
<worksheet xmlns="http://schemas.openxmlformats.org/spreadsheetml/2006/main">
  <sheetPr>
    <tabColor rgb="002F5D50"/>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44" customWidth="1" min="1" max="1"/>
    <col width="22" customWidth="1" min="2" max="2"/>
    <col width="16" customWidth="1" min="3" max="3"/>
    <col width="22" customWidth="1" min="4" max="4"/>
    <col width="60" customWidth="1" min="5" max="5"/>
    <col width="22" customWidth="1" min="6" max="6"/>
    <col width="22" customWidth="1" min="7" max="7"/>
    <col width="30" customWidth="1" min="8" max="8"/>
    <col width="16" customWidth="1" min="9" max="9"/>
  </cols>
  <sheetData>
    <row r="1">
      <c r="A1" s="1" t="inlineStr">
        <is>
          <t>ASSUMPTIONS</t>
        </is>
      </c>
    </row>
    <row r="2">
      <c r="A2" s="2" t="inlineStr">
        <is>
          <t>Every factor the calculations use. Change the value on the tab shown. Source status must be confirmed before you rely on a figure.</t>
        </is>
      </c>
    </row>
    <row r="3">
      <c r="A3" s="38" t="inlineStr">
        <is>
          <t>EXAMPLE RENOVATION: placeholder rates and quantities. These totals are NOT a real estimate.</t>
        </is>
      </c>
    </row>
    <row r="4" ht="34" customHeight="1">
      <c r="A4" s="5" t="inlineStr">
        <is>
          <t>Factor</t>
        </is>
      </c>
      <c r="B4" s="5" t="inlineStr">
        <is>
          <t>Current value</t>
        </is>
      </c>
      <c r="C4" s="5" t="inlineStr">
        <is>
          <t>Unit</t>
        </is>
      </c>
      <c r="D4" s="5" t="inlineStr">
        <is>
          <t>Where to change it</t>
        </is>
      </c>
      <c r="E4" s="5" t="inlineStr">
        <is>
          <t>Source status</t>
        </is>
      </c>
      <c r="F4" s="5" t="inlineStr">
        <is>
          <t>Verified value (engineer fills)</t>
        </is>
      </c>
      <c r="G4" s="5" t="inlineStr">
        <is>
          <t>Verified by</t>
        </is>
      </c>
      <c r="H4" s="5" t="inlineStr">
        <is>
          <t>Source reference</t>
        </is>
      </c>
      <c r="I4" s="5" t="inlineStr">
        <is>
          <t>Date verified</t>
        </is>
      </c>
    </row>
    <row r="5" ht="30" customHeight="1">
      <c r="A5" s="30" t="inlineStr">
        <is>
          <t>Contingency</t>
        </is>
      </c>
      <c r="B5" s="6">
        <f>Setup!B12</f>
        <v/>
      </c>
      <c r="C5" s="13" t="inlineStr">
        <is>
          <t>%</t>
        </is>
      </c>
      <c r="D5" s="8" t="inlineStr">
        <is>
          <t>Setup</t>
        </is>
      </c>
      <c r="E5" s="8" t="inlineStr">
        <is>
          <t>Your choice. Set by you.</t>
        </is>
      </c>
      <c r="F5" s="10" t="n"/>
      <c r="G5" s="10" t="n"/>
      <c r="H5" s="10" t="n"/>
      <c r="I5" s="39" t="n"/>
    </row>
    <row r="6" ht="30" customHeight="1">
      <c r="A6" s="30" t="inlineStr">
        <is>
          <t>GST on works</t>
        </is>
      </c>
      <c r="B6" s="6">
        <f>Setup!B13</f>
        <v/>
      </c>
      <c r="C6" s="13" t="inlineStr">
        <is>
          <t>%</t>
        </is>
      </c>
      <c r="D6" s="8" t="inlineStr">
        <is>
          <t>Setup</t>
        </is>
      </c>
      <c r="E6" s="31" t="inlineStr">
        <is>
          <t>NOT VERIFIED. Confirm the rate for your contract with your accountant.</t>
        </is>
      </c>
      <c r="F6" s="10" t="n"/>
      <c r="G6" s="10" t="n"/>
      <c r="H6" s="10" t="n"/>
      <c r="I6" s="39" t="n"/>
    </row>
    <row r="7" ht="30" customHeight="1">
      <c r="A7" s="30" t="inlineStr">
        <is>
          <t>Dry volume factor (wet to dry concrete)</t>
        </is>
      </c>
      <c r="B7" s="6">
        <f>Concrete!B20</f>
        <v/>
      </c>
      <c r="C7" s="13" t="inlineStr">
        <is>
          <t>x</t>
        </is>
      </c>
      <c r="D7" s="8" t="inlineStr">
        <is>
          <t>Concrete</t>
        </is>
      </c>
      <c r="E7" s="8" t="inlineStr">
        <is>
          <t>Common practice. Not sourced. Engineer to confirm.</t>
        </is>
      </c>
      <c r="F7" s="10" t="n"/>
      <c r="G7" s="10" t="n"/>
      <c r="H7" s="10" t="n"/>
      <c r="I7" s="39" t="n"/>
    </row>
    <row r="8" ht="30" customHeight="1">
      <c r="A8" s="30" t="inlineStr">
        <is>
          <t>Cement parts (mix)</t>
        </is>
      </c>
      <c r="B8" s="6">
        <f>Concrete!B17</f>
        <v/>
      </c>
      <c r="C8" s="13" t="inlineStr">
        <is>
          <t>parts</t>
        </is>
      </c>
      <c r="D8" s="8" t="inlineStr">
        <is>
          <t>Concrete</t>
        </is>
      </c>
      <c r="E8" s="8" t="inlineStr">
        <is>
          <t>Example mix only. Use your engineer's grade and mix.</t>
        </is>
      </c>
      <c r="F8" s="10" t="n"/>
      <c r="G8" s="10" t="n"/>
      <c r="H8" s="10" t="n"/>
      <c r="I8" s="39" t="n"/>
    </row>
    <row r="9" ht="30" customHeight="1">
      <c r="A9" s="30" t="inlineStr">
        <is>
          <t>Sand parts (mix)</t>
        </is>
      </c>
      <c r="B9" s="6">
        <f>Concrete!B18</f>
        <v/>
      </c>
      <c r="C9" s="13" t="inlineStr">
        <is>
          <t>parts</t>
        </is>
      </c>
      <c r="D9" s="8" t="inlineStr">
        <is>
          <t>Concrete</t>
        </is>
      </c>
      <c r="E9" s="8" t="inlineStr">
        <is>
          <t>Example mix only. Use your engineer's grade and mix.</t>
        </is>
      </c>
      <c r="F9" s="10" t="n"/>
      <c r="G9" s="10" t="n"/>
      <c r="H9" s="10" t="n"/>
      <c r="I9" s="39" t="n"/>
    </row>
    <row r="10" ht="30" customHeight="1">
      <c r="A10" s="30" t="inlineStr">
        <is>
          <t>Aggregate parts (mix)</t>
        </is>
      </c>
      <c r="B10" s="6">
        <f>Concrete!B19</f>
        <v/>
      </c>
      <c r="C10" s="13" t="inlineStr">
        <is>
          <t>parts</t>
        </is>
      </c>
      <c r="D10" s="8" t="inlineStr">
        <is>
          <t>Concrete</t>
        </is>
      </c>
      <c r="E10" s="8" t="inlineStr">
        <is>
          <t>Example mix only. Use your engineer's grade and mix.</t>
        </is>
      </c>
      <c r="F10" s="10" t="n"/>
      <c r="G10" s="10" t="n"/>
      <c r="H10" s="10" t="n"/>
      <c r="I10" s="39" t="n"/>
    </row>
    <row r="11" ht="30" customHeight="1">
      <c r="A11" s="30" t="inlineStr">
        <is>
          <t>Cement bag volume (1.25 cu ft per 50 kg bag)</t>
        </is>
      </c>
      <c r="B11" s="26" t="n">
        <v>1.25</v>
      </c>
      <c r="C11" s="13" t="inlineStr">
        <is>
          <t>cu ft</t>
        </is>
      </c>
      <c r="D11" s="8" t="inlineStr">
        <is>
          <t>This tab (row 11)</t>
        </is>
      </c>
      <c r="E11" s="8" t="inlineStr">
        <is>
          <t>Practice. Not sourced. Supplier to confirm.</t>
        </is>
      </c>
      <c r="F11" s="10" t="n"/>
      <c r="G11" s="10" t="n"/>
      <c r="H11" s="10" t="n"/>
      <c r="I11" s="39" t="n"/>
    </row>
    <row r="12" ht="30" customHeight="1">
      <c r="A12" s="30" t="inlineStr">
        <is>
          <t>Bricks per cu m of wall</t>
        </is>
      </c>
      <c r="B12" s="6">
        <f>'Bricks &amp; Blocks'!B14</f>
        <v/>
      </c>
      <c r="C12" s="13" t="inlineStr">
        <is>
          <t>pieces</t>
        </is>
      </c>
      <c r="D12" s="8" t="inlineStr">
        <is>
          <t>Bricks &amp; Blocks</t>
        </is>
      </c>
      <c r="E12" s="8" t="inlineStr">
        <is>
          <t>Approximation. Not sourced. Mason to confirm.</t>
        </is>
      </c>
      <c r="F12" s="10" t="n"/>
      <c r="G12" s="10" t="n"/>
      <c r="H12" s="10" t="n"/>
      <c r="I12" s="39" t="n"/>
    </row>
    <row r="13" ht="30" customHeight="1">
      <c r="A13" s="30" t="inlineStr">
        <is>
          <t>Brick breakage allowance</t>
        </is>
      </c>
      <c r="B13" s="6">
        <f>'Bricks &amp; Blocks'!B15</f>
        <v/>
      </c>
      <c r="C13" s="13" t="inlineStr">
        <is>
          <t>%</t>
        </is>
      </c>
      <c r="D13" s="8" t="inlineStr">
        <is>
          <t>Bricks &amp; Blocks</t>
        </is>
      </c>
      <c r="E13" s="8" t="inlineStr">
        <is>
          <t>Practice. Not sourced.</t>
        </is>
      </c>
      <c r="F13" s="10" t="n"/>
      <c r="G13" s="10" t="n"/>
      <c r="H13" s="10" t="n"/>
      <c r="I13" s="39" t="n"/>
    </row>
    <row r="14" ht="30" customHeight="1">
      <c r="A14" s="30" t="inlineStr">
        <is>
          <t>Paint coverage</t>
        </is>
      </c>
      <c r="B14" s="6">
        <f>'Paint &amp; Tiles'!B28</f>
        <v/>
      </c>
      <c r="C14" s="13" t="inlineStr">
        <is>
          <t>sq ft per litre</t>
        </is>
      </c>
      <c r="D14" s="8" t="inlineStr">
        <is>
          <t>Paint &amp; Tiles</t>
        </is>
      </c>
      <c r="E14" s="8" t="inlineStr">
        <is>
          <t>Assumption. Check the coverage on the paint label.</t>
        </is>
      </c>
      <c r="F14" s="10" t="n"/>
      <c r="G14" s="10" t="n"/>
      <c r="H14" s="10" t="n"/>
      <c r="I14" s="39" t="n"/>
    </row>
    <row r="15" ht="30" customHeight="1">
      <c r="A15" s="30" t="inlineStr">
        <is>
          <t>Paint waste allowance</t>
        </is>
      </c>
      <c r="B15" s="6">
        <f>'Paint &amp; Tiles'!B29</f>
        <v/>
      </c>
      <c r="C15" s="13" t="inlineStr">
        <is>
          <t>%</t>
        </is>
      </c>
      <c r="D15" s="8" t="inlineStr">
        <is>
          <t>Paint &amp; Tiles</t>
        </is>
      </c>
      <c r="E15" s="8" t="inlineStr">
        <is>
          <t>Practice. Not sourced.</t>
        </is>
      </c>
      <c r="F15" s="10" t="n"/>
      <c r="G15" s="10" t="n"/>
      <c r="H15" s="10" t="n"/>
      <c r="I15" s="39" t="n"/>
    </row>
    <row r="16" ht="30" customHeight="1">
      <c r="A16" s="30" t="inlineStr">
        <is>
          <t>Number of coats</t>
        </is>
      </c>
      <c r="B16" s="6">
        <f>'Paint &amp; Tiles'!B27</f>
        <v/>
      </c>
      <c r="C16" s="13" t="inlineStr">
        <is>
          <t>coats</t>
        </is>
      </c>
      <c r="D16" s="8" t="inlineStr">
        <is>
          <t>Paint &amp; Tiles</t>
        </is>
      </c>
      <c r="E16" s="8" t="inlineStr">
        <is>
          <t>Your choice. Check with the painter.</t>
        </is>
      </c>
      <c r="F16" s="10" t="n"/>
      <c r="G16" s="10" t="n"/>
      <c r="H16" s="10" t="n"/>
      <c r="I16" s="39" t="n"/>
    </row>
    <row r="17" ht="30" customHeight="1">
      <c r="A17" s="30" t="inlineStr">
        <is>
          <t>Standard door size (width)</t>
        </is>
      </c>
      <c r="B17" s="6">
        <f>'Paint &amp; Tiles'!B21</f>
        <v/>
      </c>
      <c r="C17" s="13" t="inlineStr">
        <is>
          <t>units</t>
        </is>
      </c>
      <c r="D17" s="8" t="inlineStr">
        <is>
          <t>Paint &amp; Tiles</t>
        </is>
      </c>
      <c r="E17" s="8" t="inlineStr">
        <is>
          <t>Assumption. Measure your doors.</t>
        </is>
      </c>
      <c r="F17" s="10" t="n"/>
      <c r="G17" s="10" t="n"/>
      <c r="H17" s="10" t="n"/>
      <c r="I17" s="39" t="n"/>
    </row>
    <row r="18" ht="30" customHeight="1">
      <c r="A18" s="30" t="inlineStr">
        <is>
          <t>Standard window size (width)</t>
        </is>
      </c>
      <c r="B18" s="6">
        <f>'Paint &amp; Tiles'!B23</f>
        <v/>
      </c>
      <c r="C18" s="13" t="inlineStr">
        <is>
          <t>units</t>
        </is>
      </c>
      <c r="D18" s="8" t="inlineStr">
        <is>
          <t>Paint &amp; Tiles</t>
        </is>
      </c>
      <c r="E18" s="8" t="inlineStr">
        <is>
          <t>Assumption. Measure your windows.</t>
        </is>
      </c>
      <c r="F18" s="10" t="n"/>
      <c r="G18" s="10" t="n"/>
      <c r="H18" s="10" t="n"/>
      <c r="I18" s="39" t="n"/>
    </row>
    <row r="19" ht="30" customHeight="1">
      <c r="A19" s="30" t="inlineStr">
        <is>
          <t>Tile size (length)</t>
        </is>
      </c>
      <c r="B19" s="6">
        <f>'Paint &amp; Tiles'!B32</f>
        <v/>
      </c>
      <c r="C19" s="13" t="inlineStr">
        <is>
          <t>mm</t>
        </is>
      </c>
      <c r="D19" s="8" t="inlineStr">
        <is>
          <t>Paint &amp; Tiles</t>
        </is>
      </c>
      <c r="E19" s="8" t="inlineStr">
        <is>
          <t>Assumption. Use your tile's size.</t>
        </is>
      </c>
      <c r="F19" s="10" t="n"/>
      <c r="G19" s="10" t="n"/>
      <c r="H19" s="10" t="n"/>
      <c r="I19" s="39" t="n"/>
    </row>
    <row r="20" ht="30" customHeight="1">
      <c r="A20" s="30" t="inlineStr">
        <is>
          <t>Tile cutting and breakage allowance</t>
        </is>
      </c>
      <c r="B20" s="6">
        <f>'Paint &amp; Tiles'!B34</f>
        <v/>
      </c>
      <c r="C20" s="13" t="inlineStr">
        <is>
          <t>%</t>
        </is>
      </c>
      <c r="D20" s="8" t="inlineStr">
        <is>
          <t>Paint &amp; Tiles</t>
        </is>
      </c>
      <c r="E20" s="8" t="inlineStr">
        <is>
          <t>Practice. Not sourced.</t>
        </is>
      </c>
      <c r="F20" s="10" t="n"/>
      <c r="G20" s="10" t="n"/>
      <c r="H20" s="10" t="n"/>
      <c r="I20" s="39" t="n"/>
    </row>
    <row r="21" ht="30" customHeight="1">
      <c r="A21" s="30" t="inlineStr">
        <is>
          <t>Steel weight constant (diameter² ÷ 162)</t>
        </is>
      </c>
      <c r="B21" s="32" t="n">
        <v>162</v>
      </c>
      <c r="C21" s="13" t="inlineStr">
        <is>
          <t>kg per m</t>
        </is>
      </c>
      <c r="D21" s="8" t="inlineStr">
        <is>
          <t>This tab (row 21)</t>
        </is>
      </c>
      <c r="E21" s="8" t="inlineStr">
        <is>
          <t>Unit-weight formula for TMT bars. Engineer to confirm against IS 1786.</t>
        </is>
      </c>
      <c r="F21" s="10" t="n"/>
      <c r="G21" s="10" t="n"/>
      <c r="H21" s="10" t="n"/>
      <c r="I21" s="39" t="n"/>
    </row>
    <row r="22" ht="30" customHeight="1">
      <c r="A22" s="30" t="inlineStr">
        <is>
          <t>Plaster thickness</t>
        </is>
      </c>
      <c r="B22" s="6">
        <f>Plaster!B10</f>
        <v/>
      </c>
      <c r="C22" s="13" t="inlineStr">
        <is>
          <t>mm</t>
        </is>
      </c>
      <c r="D22" s="8" t="inlineStr">
        <is>
          <t>Plaster</t>
        </is>
      </c>
      <c r="E22" s="8" t="inlineStr">
        <is>
          <t>Practice. Not sourced.</t>
        </is>
      </c>
      <c r="F22" s="10" t="n"/>
      <c r="G22" s="10" t="n"/>
      <c r="H22" s="10" t="n"/>
      <c r="I22" s="39" t="n"/>
    </row>
    <row r="23" ht="30" customHeight="1">
      <c r="A23" s="30" t="inlineStr">
        <is>
          <t>Plaster mix (cement : sand)</t>
        </is>
      </c>
      <c r="B23" s="6">
        <f>Plaster!B12&amp;" : "&amp;Plaster!B13</f>
        <v/>
      </c>
      <c r="C23" s="13" t="inlineStr">
        <is>
          <t>parts</t>
        </is>
      </c>
      <c r="D23" s="8" t="inlineStr">
        <is>
          <t>Plaster</t>
        </is>
      </c>
      <c r="E23" s="8" t="inlineStr">
        <is>
          <t>Practice. Not sourced.</t>
        </is>
      </c>
      <c r="F23" s="10" t="n"/>
      <c r="G23" s="10" t="n"/>
      <c r="H23" s="10" t="n"/>
      <c r="I23" s="39" t="n"/>
    </row>
    <row r="24" ht="30" customHeight="1">
      <c r="A24" s="30" t="inlineStr">
        <is>
          <t>Plaster dry volume factor</t>
        </is>
      </c>
      <c r="B24" s="6">
        <f>Plaster!B11</f>
        <v/>
      </c>
      <c r="C24" s="13" t="inlineStr">
        <is>
          <t>x</t>
        </is>
      </c>
      <c r="D24" s="8" t="inlineStr">
        <is>
          <t>Plaster</t>
        </is>
      </c>
      <c r="E24" s="8" t="inlineStr">
        <is>
          <t>Practice. Not sourced.</t>
        </is>
      </c>
      <c r="F24" s="10" t="n"/>
      <c r="G24" s="10" t="n"/>
      <c r="H24" s="10" t="n"/>
      <c r="I24" s="39" t="n"/>
    </row>
    <row r="25" ht="30" customHeight="1">
      <c r="A25" s="30" t="inlineStr">
        <is>
          <t>Plaster waste allowance</t>
        </is>
      </c>
      <c r="B25" s="6">
        <f>Plaster!B14</f>
        <v/>
      </c>
      <c r="C25" s="13" t="inlineStr">
        <is>
          <t>%</t>
        </is>
      </c>
      <c r="D25" s="8" t="inlineStr">
        <is>
          <t>Plaster</t>
        </is>
      </c>
      <c r="E25" s="8" t="inlineStr">
        <is>
          <t>Practice. Not sourced.</t>
        </is>
      </c>
      <c r="F25" s="10" t="n"/>
      <c r="G25" s="10" t="n"/>
      <c r="H25" s="10" t="n"/>
      <c r="I25" s="39" t="n"/>
    </row>
    <row r="26" ht="30" customHeight="1">
      <c r="A26" s="30" t="inlineStr">
        <is>
          <t>Excavation over-digging allowance</t>
        </is>
      </c>
      <c r="B26" s="6">
        <f>Earthwork!B17</f>
        <v/>
      </c>
      <c r="C26" s="13" t="inlineStr">
        <is>
          <t>%</t>
        </is>
      </c>
      <c r="D26" s="8" t="inlineStr">
        <is>
          <t>Earthwork</t>
        </is>
      </c>
      <c r="E26" s="8" t="inlineStr">
        <is>
          <t>Practice. Not sourced.</t>
        </is>
      </c>
      <c r="F26" s="10" t="n"/>
      <c r="G26" s="10" t="n"/>
      <c r="H26" s="10" t="n"/>
      <c r="I26" s="39" t="n"/>
    </row>
    <row r="27" ht="30" customHeight="1">
      <c r="A27" s="30" t="inlineStr">
        <is>
          <t>Wastage on sand (Order List)</t>
        </is>
      </c>
      <c r="B27" s="6">
        <f>'Order List'!E7</f>
        <v/>
      </c>
      <c r="C27" s="13" t="inlineStr">
        <is>
          <t>%</t>
        </is>
      </c>
      <c r="D27" s="8" t="inlineStr">
        <is>
          <t>Order List</t>
        </is>
      </c>
      <c r="E27" s="8" t="inlineStr">
        <is>
          <t>Practice. Not sourced. Supplier to confirm.</t>
        </is>
      </c>
      <c r="F27" s="10" t="n"/>
      <c r="G27" s="10" t="n"/>
      <c r="H27" s="10" t="n"/>
      <c r="I27" s="39" t="n"/>
    </row>
    <row r="28" ht="30" customHeight="1">
      <c r="A28" s="30" t="inlineStr">
        <is>
          <t>Wastage on aggregate and steel (Order List)</t>
        </is>
      </c>
      <c r="B28" s="6">
        <f>'Order List'!E8</f>
        <v/>
      </c>
      <c r="C28" s="13" t="inlineStr">
        <is>
          <t>%</t>
        </is>
      </c>
      <c r="D28" s="8" t="inlineStr">
        <is>
          <t>Order List</t>
        </is>
      </c>
      <c r="E28" s="8" t="inlineStr">
        <is>
          <t>Practice. Not sourced. Supplier to confirm.</t>
        </is>
      </c>
      <c r="F28" s="10" t="n"/>
      <c r="G28" s="10" t="n"/>
      <c r="H28" s="10" t="n"/>
      <c r="I28" s="39" t="n"/>
    </row>
    <row r="29" ht="30" customHeight="1">
      <c r="A29" s="30" t="inlineStr">
        <is>
          <t>Bill check tolerance</t>
        </is>
      </c>
      <c r="B29" s="6">
        <f>'Bill Check'!B4</f>
        <v/>
      </c>
      <c r="C29" s="13" t="inlineStr">
        <is>
          <t>%</t>
        </is>
      </c>
      <c r="D29" s="8" t="inlineStr">
        <is>
          <t>Bill Check</t>
        </is>
      </c>
      <c r="E29" s="8" t="inlineStr">
        <is>
          <t>Your choice.</t>
        </is>
      </c>
      <c r="F29" s="10" t="n"/>
      <c r="G29" s="10" t="n"/>
      <c r="H29" s="10" t="n"/>
      <c r="I29" s="39" t="n"/>
    </row>
    <row r="30" ht="30" customHeight="1">
      <c r="A30" s="30" t="inlineStr">
        <is>
          <t>Quotation valid for</t>
        </is>
      </c>
      <c r="B30" s="6">
        <f>'Quotation'!C36</f>
        <v/>
      </c>
      <c r="C30" s="13" t="inlineStr">
        <is>
          <t>days</t>
        </is>
      </c>
      <c r="D30" s="8" t="inlineStr">
        <is>
          <t>Quotation</t>
        </is>
      </c>
      <c r="E30" s="8" t="inlineStr">
        <is>
          <t>Your choice. Check local practice.</t>
        </is>
      </c>
      <c r="F30" s="10" t="n"/>
      <c r="G30" s="10" t="n"/>
      <c r="H30" s="10" t="n"/>
      <c r="I30" s="39" t="n"/>
    </row>
    <row r="31" ht="30" customHeight="1">
      <c r="A31" s="30" t="inlineStr">
        <is>
          <t>Stage target shares</t>
        </is>
      </c>
      <c r="B31" s="6" t="inlineStr">
        <is>
          <t>Stage Budget column D</t>
        </is>
      </c>
      <c r="C31" s="13" t="inlineStr">
        <is>
          <t>%</t>
        </is>
      </c>
      <c r="D31" s="8" t="inlineStr">
        <is>
          <t>Stage Budget</t>
        </is>
      </c>
      <c r="E31" s="8" t="inlineStr">
        <is>
          <t>Examples only. Set your own.</t>
        </is>
      </c>
      <c r="F31" s="10" t="n"/>
      <c r="G31" s="10" t="n"/>
      <c r="H31" s="10" t="n"/>
      <c r="I31" s="39" t="n"/>
    </row>
    <row r="32" ht="30" customHeight="1">
      <c r="A32" s="30" t="inlineStr">
        <is>
          <t>Conversion factors (ft to m, sq ft to sq m, cu ft to cu m, mm to ft)</t>
        </is>
      </c>
      <c r="B32" s="6" t="inlineStr">
        <is>
          <t>3.28084 / 10.7639 / 35.3147 / 304.8</t>
        </is>
      </c>
      <c r="C32" s="13" t="inlineStr">
        <is>
          <t>-</t>
        </is>
      </c>
      <c r="D32" s="8" t="inlineStr">
        <is>
          <t>Fixed in formula</t>
        </is>
      </c>
      <c r="E32" s="8" t="inlineStr">
        <is>
          <t>Exact unit conversions.</t>
        </is>
      </c>
      <c r="F32" s="10" t="n"/>
      <c r="G32" s="10" t="n"/>
      <c r="H32" s="10" t="n"/>
      <c r="I32" s="39" t="n"/>
    </row>
    <row r="34">
      <c r="A34" s="13" t="inlineStr">
        <is>
          <t>Nothing on this tab is a source. Each line says whether it has been checked. Until it is, treat the figure as an estimate.</t>
        </is>
      </c>
    </row>
    <row r="35">
      <c r="A35" s="13" t="inlineStr">
        <is>
          <t>Engineer or quantity surveyor: fill columns F to I for each factor you confirm. Leave blank any factor you cannot confirm.</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3.xml><?xml version="1.0" encoding="utf-8"?>
<worksheet xmlns="http://schemas.openxmlformats.org/spreadsheetml/2006/main">
  <sheetPr>
    <tabColor rgb="002F5D50"/>
    <outlinePr summaryBelow="1" summaryRight="1"/>
    <pageSetUpPr/>
  </sheetPr>
  <dimension ref="A1:B11"/>
  <sheetViews>
    <sheetView showGridLines="0" workbookViewId="0">
      <selection activeCell="A1" sqref="A1"/>
    </sheetView>
  </sheetViews>
  <sheetFormatPr baseColWidth="8" defaultRowHeight="15"/>
  <cols>
    <col width="28" customWidth="1" min="1" max="1"/>
    <col width="100" customWidth="1" min="2" max="2"/>
  </cols>
  <sheetData>
    <row r="1">
      <c r="A1" s="1" t="inlineStr">
        <is>
          <t>TERMS &amp; DISCLAIMER</t>
        </is>
      </c>
    </row>
    <row r="2">
      <c r="A2" s="2" t="inlineStr">
        <is>
          <t>Read before relying on any figure in this file.</t>
        </is>
      </c>
    </row>
    <row r="3">
      <c r="A3" s="38" t="inlineStr">
        <is>
          <t>EXAMPLE RENOVATION: placeholder rates and quantities. These totals are NOT a real estimate.</t>
        </is>
      </c>
    </row>
    <row r="4" ht="48" customHeight="1">
      <c r="A4" s="30" t="inlineStr">
        <is>
          <t>What this file is</t>
        </is>
      </c>
      <c r="B4" s="8" t="inlineStr">
        <is>
          <t>A planning tool. It calculates quantities and costs from the measurements, rates and assumptions you enter.</t>
        </is>
      </c>
    </row>
    <row r="5" ht="48" customHeight="1">
      <c r="A5" s="30" t="inlineStr">
        <is>
          <t>What this file is not</t>
        </is>
      </c>
      <c r="B5" s="8" t="inlineStr">
        <is>
          <t>It is not a structural design. It does not check loads, safety or building bylaws. It does not replace a structural engineer, architect, quantity surveyor or licensed contractor.</t>
        </is>
      </c>
    </row>
    <row r="6" ht="48" customHeight="1">
      <c r="A6" s="30" t="inlineStr">
        <is>
          <t>Estimates only</t>
        </is>
      </c>
      <c r="B6" s="8" t="inlineStr">
        <is>
          <t>Results depend on your measurements, your rates and the assumptions on the Assumptions tab. Rates are blank or placeholders until you enter your own.</t>
        </is>
      </c>
    </row>
    <row r="7" ht="48" customHeight="1">
      <c r="A7" s="30" t="inlineStr">
        <is>
          <t>Sample figures</t>
        </is>
      </c>
      <c r="B7" s="8" t="inlineStr">
        <is>
          <t>The EXAMPLE file's rates and quantities are placeholders. Do not use them as market prices or as a benchmark for cost per sq ft.</t>
        </is>
      </c>
    </row>
    <row r="8" ht="48" customHeight="1">
      <c r="A8" s="30" t="inlineStr">
        <is>
          <t>Not professional advice</t>
        </is>
      </c>
      <c r="B8" s="8" t="inlineStr">
        <is>
          <t>This is not legal, tax, financial or building advice. Confirm GST, approvals and contract terms with your accountant, lawyer and local authority.</t>
        </is>
      </c>
    </row>
    <row r="9" ht="48" customHeight="1">
      <c r="A9" s="30" t="inlineStr">
        <is>
          <t>Compatibility &amp; Testing</t>
        </is>
      </c>
      <c r="B9" s="8" t="inlineStr">
        <is>
          <t>Formulas use standard OpenXML spreadsheet functions verified for Microsoft Excel (2016-365, Windows &amp; Mac), Google Sheets, and LibreOffice Calc. Check all project-specific figures before placing orders or signing contracts.</t>
        </is>
      </c>
    </row>
    <row r="10" ht="48" customHeight="1">
      <c r="A10" s="30" t="inlineStr">
        <is>
          <t>Your responsibility</t>
        </is>
      </c>
      <c r="B10" s="8" t="inlineStr">
        <is>
          <t>You decide what to buy, pay for, and build. Check every quantity and rate before you act on it.</t>
        </is>
      </c>
    </row>
    <row r="11" ht="48" customHeight="1">
      <c r="A11" s="33" t="inlineStr">
        <is>
          <t>Support &amp; License</t>
        </is>
      </c>
      <c r="B11" s="31" t="inlineStr">
        <is>
          <t>Published by Thinktools (thinktools.in). Customer Support: orders@thinktools.in. Licensed for single-user personal and business planning. All sales final; replacement support available.</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4.xml><?xml version="1.0" encoding="utf-8"?>
<worksheet xmlns="http://schemas.openxmlformats.org/spreadsheetml/2006/main">
  <sheetPr>
    <tabColor rgb="002F5D50"/>
    <outlinePr summaryBelow="1" summaryRight="1"/>
    <pageSetUpPr/>
  </sheetPr>
  <dimension ref="A1:B34"/>
  <sheetViews>
    <sheetView showGridLines="0" workbookViewId="0">
      <selection activeCell="A1" sqref="A1"/>
    </sheetView>
  </sheetViews>
  <sheetFormatPr baseColWidth="8" defaultRowHeight="15"/>
  <cols>
    <col width="34" customWidth="1" min="1" max="1"/>
    <col width="26" customWidth="1" min="2" max="2"/>
  </cols>
  <sheetData>
    <row r="1">
      <c r="A1" s="1" t="inlineStr">
        <is>
          <t>DASHBOARD</t>
        </is>
      </c>
    </row>
    <row r="2">
      <c r="A2" s="2" t="inlineStr">
        <is>
          <t>Your project at a glance. Everything here updates as you change the other tabs.</t>
        </is>
      </c>
    </row>
    <row r="3">
      <c r="A3" s="38" t="inlineStr">
        <is>
          <t>EXAMPLE RENOVATION: placeholder rates and quantities. These totals are NOT a real estimate.</t>
        </is>
      </c>
    </row>
    <row r="4">
      <c r="A4" s="3" t="inlineStr">
        <is>
          <t>PROJECT</t>
        </is>
      </c>
      <c r="B4" s="4" t="n"/>
    </row>
    <row r="5">
      <c r="A5" s="13" t="inlineStr">
        <is>
          <t>Project</t>
        </is>
      </c>
      <c r="B5" s="6">
        <f>Setup!B5</f>
        <v/>
      </c>
    </row>
    <row r="6">
      <c r="A6" s="13" t="inlineStr">
        <is>
          <t>Location</t>
        </is>
      </c>
      <c r="B6" s="6">
        <f>Setup!B7</f>
        <v/>
      </c>
    </row>
    <row r="7">
      <c r="A7" s="13" t="inlineStr">
        <is>
          <t>Built-up area</t>
        </is>
      </c>
      <c r="B7" s="6">
        <f>TEXT(Setup!B10,"#,##0")&amp;" "&amp;IF(Setup!$B$9="Metres","sq m","sq ft")</f>
        <v/>
      </c>
    </row>
    <row r="8">
      <c r="A8" s="13" t="inlineStr">
        <is>
          <t>Target budget (₹)</t>
        </is>
      </c>
      <c r="B8" s="24">
        <f>Setup!B11</f>
        <v/>
      </c>
    </row>
    <row r="10">
      <c r="A10" s="3" t="inlineStr">
        <is>
          <t>MONEY</t>
        </is>
      </c>
      <c r="B10" s="4" t="n"/>
    </row>
    <row r="11">
      <c r="A11" s="9" t="inlineStr">
        <is>
          <t>Estimated total (₹)</t>
        </is>
      </c>
      <c r="B11" s="24">
        <f>'Cost Estimate'!C29</f>
        <v/>
      </c>
    </row>
    <row r="12">
      <c r="A12" s="9" t="inlineStr">
        <is>
          <t>Actual spent (₹)</t>
        </is>
      </c>
      <c r="B12" s="24">
        <f>'Cost Estimate'!D29</f>
        <v/>
      </c>
    </row>
    <row r="13">
      <c r="A13" s="9" t="inlineStr">
        <is>
          <t>Headroom vs target (₹)</t>
        </is>
      </c>
      <c r="B13" s="24">
        <f>'Cost Estimate'!C31</f>
        <v/>
      </c>
    </row>
    <row r="14">
      <c r="A14" s="13" t="inlineStr">
        <is>
          <t>Cost per sq ft (₹)</t>
        </is>
      </c>
      <c r="B14" s="24">
        <f>'Cost Estimate'!C32</f>
        <v/>
      </c>
    </row>
    <row r="15">
      <c r="A15" s="13" t="inlineStr">
        <is>
          <t>Spent so far (% of estimate)</t>
        </is>
      </c>
      <c r="B15" s="25">
        <f>IF(B11=0,0,B12/B11)</f>
        <v/>
      </c>
    </row>
    <row r="17">
      <c r="A17" s="3" t="inlineStr">
        <is>
          <t>MATERIALS</t>
        </is>
      </c>
      <c r="B17" s="4" t="n"/>
    </row>
    <row r="18">
      <c r="A18" s="13" t="inlineStr">
        <is>
          <t>Paint to buy (litres)</t>
        </is>
      </c>
      <c r="B18" s="21">
        <f>'Paint &amp; Tiles'!B38</f>
        <v/>
      </c>
    </row>
    <row r="19">
      <c r="A19" s="13" t="inlineStr">
        <is>
          <t>Floor tiles to buy</t>
        </is>
      </c>
      <c r="B19" s="21">
        <f>'Paint &amp; Tiles'!B41</f>
        <v/>
      </c>
    </row>
    <row r="20">
      <c r="A20" s="13" t="inlineStr">
        <is>
          <t>Bricks needed</t>
        </is>
      </c>
      <c r="B20" s="21">
        <f>'Bricks &amp; Blocks'!B21</f>
        <v/>
      </c>
    </row>
    <row r="21">
      <c r="A21" s="13" t="inlineStr">
        <is>
          <t>Cement bags (50 kg)</t>
        </is>
      </c>
      <c r="B21" s="21">
        <f>Concrete!B25</f>
        <v/>
      </c>
    </row>
    <row r="22">
      <c r="A22" s="13" t="inlineStr">
        <is>
          <t>Steel (tonnes)</t>
        </is>
      </c>
      <c r="B22" s="42">
        <f>Steel!E12</f>
        <v/>
      </c>
    </row>
    <row r="23">
      <c r="A23" s="13" t="inlineStr">
        <is>
          <t>Concrete (cu ft)</t>
        </is>
      </c>
      <c r="B23" s="23">
        <f>Concrete!F14</f>
        <v/>
      </c>
    </row>
    <row r="24">
      <c r="A24" s="13" t="inlineStr">
        <is>
          <t>Material cost from Order List (₹)</t>
        </is>
      </c>
      <c r="B24" s="24">
        <f>'Order List'!H25</f>
        <v/>
      </c>
    </row>
    <row r="26" ht="30" customHeight="1">
      <c r="A26" s="34">
        <f>'Cost Estimate'!A34</f>
        <v/>
      </c>
    </row>
    <row r="28">
      <c r="A28" s="8" t="inlineStr">
        <is>
          <t>Actual-spend bars stay empty until you enter actual spend on the Cost Estimate tab.</t>
        </is>
      </c>
    </row>
    <row r="29"/>
    <row r="30"/>
    <row r="32">
      <c r="A32" s="35">
        <f>IF(COUNTBLANK(Rates!C6:C21)&gt;0,"Next step: enter your rates on the Rates tab. Costs show zero until you do. Use Rate Quotes to compare two suppliers.",IF(COUNT(Services!B6:B22)=0,"Next step: count plumbing and electrical points on the Services tab.","Next step: check the Stage Budget and set your own target shares."))</f>
        <v/>
      </c>
    </row>
    <row r="33"/>
    <row r="34"/>
  </sheetData>
  <sheetProtection selectLockedCells="0" selectUnlockedCells="0" sheet="1" objects="0" insertRows="1" insertHyperlinks="1" autoFilter="1" scenarios="0" formatColumns="0" deleteColumns="1" insertColumns="1" pivotTables="1" deleteRows="1" formatCells="0" formatRows="0" sort="1"/>
  <mergeCells count="3">
    <mergeCell ref="A32:B34"/>
    <mergeCell ref="A26:B26"/>
    <mergeCell ref="A28:B30"/>
  </mergeCell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tabColor rgb="002F5D50"/>
    <outlinePr summaryBelow="1" summaryRight="1"/>
    <pageSetUpPr/>
  </sheetPr>
  <dimension ref="A1:G17"/>
  <sheetViews>
    <sheetView showGridLines="0" workbookViewId="0">
      <pane ySplit="6" topLeftCell="A7" activePane="bottomLeft" state="frozen"/>
      <selection pane="bottomLeft" activeCell="A1" sqref="A1"/>
    </sheetView>
  </sheetViews>
  <sheetFormatPr baseColWidth="8" defaultRowHeight="15"/>
  <cols>
    <col width="30" customWidth="1" min="1" max="1"/>
    <col width="10" customWidth="1" min="2" max="2"/>
    <col width="18" customWidth="1" min="3" max="3"/>
    <col width="20" customWidth="1" min="4" max="4"/>
    <col width="14" customWidth="1" min="5" max="5"/>
    <col width="16" customWidth="1" min="6" max="6"/>
    <col width="48" customWidth="1" min="7" max="7"/>
  </cols>
  <sheetData>
    <row r="1">
      <c r="A1" s="1" t="inlineStr">
        <is>
          <t>BILL CHECK</t>
        </is>
      </c>
    </row>
    <row r="2">
      <c r="A2" s="2" t="inlineStr">
        <is>
          <t>Compare the quantities a contractor claims with the quantities this file calculates.</t>
        </is>
      </c>
    </row>
    <row r="3">
      <c r="A3" s="38" t="inlineStr">
        <is>
          <t>EXAMPLE RENOVATION: placeholder rates and quantities. These totals are NOT a real estimate.</t>
        </is>
      </c>
    </row>
    <row r="4">
      <c r="A4" s="9" t="inlineStr">
        <is>
          <t>Allowed difference before flagging (%)</t>
        </is>
      </c>
      <c r="B4" s="17" t="n">
        <v>0.05</v>
      </c>
    </row>
    <row r="6" ht="34" customHeight="1">
      <c r="A6" s="5" t="inlineStr">
        <is>
          <t>Item</t>
        </is>
      </c>
      <c r="B6" s="5" t="inlineStr">
        <is>
          <t>Unit</t>
        </is>
      </c>
      <c r="C6" s="5" t="inlineStr">
        <is>
          <t>Our calculation</t>
        </is>
      </c>
      <c r="D6" s="5" t="inlineStr">
        <is>
          <t>Contractor's claim</t>
        </is>
      </c>
      <c r="E6" s="5" t="inlineStr">
        <is>
          <t>Difference</t>
        </is>
      </c>
      <c r="F6" s="5" t="inlineStr">
        <is>
          <t>Difference %</t>
        </is>
      </c>
      <c r="G6" s="5" t="inlineStr">
        <is>
          <t>Result</t>
        </is>
      </c>
    </row>
    <row r="7">
      <c r="A7" s="9" t="inlineStr">
        <is>
          <t>Room area</t>
        </is>
      </c>
      <c r="B7" s="13" t="inlineStr">
        <is>
          <t>sq ft</t>
        </is>
      </c>
      <c r="C7" s="23">
        <f>'Room Area'!E18</f>
        <v/>
      </c>
      <c r="D7" s="11" t="n"/>
      <c r="E7" s="23">
        <f>IF(D7="","",D7-C7)</f>
        <v/>
      </c>
      <c r="F7" s="25">
        <f>IF(OR(D7="",C7=0),"",E7/C7)</f>
        <v/>
      </c>
      <c r="G7" s="6">
        <f>IF(D7="","Enter the claim",IF(F7&gt;$B$4,"Claim is higher. Ask for the measurement sheet.",IF(F7&lt;-$B$4,"Claim is lower. Check the scope is complete.","Within the allowed difference")))</f>
        <v/>
      </c>
    </row>
    <row r="8">
      <c r="A8" s="9" t="inlineStr">
        <is>
          <t>Concrete volume</t>
        </is>
      </c>
      <c r="B8" s="13" t="inlineStr">
        <is>
          <t>cu ft</t>
        </is>
      </c>
      <c r="C8" s="23">
        <f>Concrete!F14</f>
        <v/>
      </c>
      <c r="D8" s="11" t="n"/>
      <c r="E8" s="23">
        <f>IF(D8="","",D8-C8)</f>
        <v/>
      </c>
      <c r="F8" s="25">
        <f>IF(OR(D8="",C8=0),"",E8/C8)</f>
        <v/>
      </c>
      <c r="G8" s="6">
        <f>IF(D8="","Enter the claim",IF(F8&gt;$B$4,"Claim is higher. Ask for the measurement sheet.",IF(F8&lt;-$B$4,"Claim is lower. Check the scope is complete.","Within the allowed difference")))</f>
        <v/>
      </c>
    </row>
    <row r="9">
      <c r="A9" s="9" t="inlineStr">
        <is>
          <t>Brickwork net area</t>
        </is>
      </c>
      <c r="B9" s="13" t="inlineStr">
        <is>
          <t>sq ft</t>
        </is>
      </c>
      <c r="C9" s="23">
        <f>'Bricks &amp; Blocks'!E11</f>
        <v/>
      </c>
      <c r="D9" s="11" t="n"/>
      <c r="E9" s="23">
        <f>IF(D9="","",D9-C9)</f>
        <v/>
      </c>
      <c r="F9" s="25">
        <f>IF(OR(D9="",C9=0),"",E9/C9)</f>
        <v/>
      </c>
      <c r="G9" s="6">
        <f>IF(D9="","Enter the claim",IF(F9&gt;$B$4,"Claim is higher. Ask for the measurement sheet.",IF(F9&lt;-$B$4,"Claim is lower. Check the scope is complete.","Within the allowed difference")))</f>
        <v/>
      </c>
    </row>
    <row r="10">
      <c r="A10" s="9" t="inlineStr">
        <is>
          <t>Paint (litres)</t>
        </is>
      </c>
      <c r="B10" s="13" t="inlineStr">
        <is>
          <t>litres</t>
        </is>
      </c>
      <c r="C10" s="23">
        <f>'Paint &amp; Tiles'!B38</f>
        <v/>
      </c>
      <c r="D10" s="11" t="n"/>
      <c r="E10" s="23">
        <f>IF(D10="","",D10-C10)</f>
        <v/>
      </c>
      <c r="F10" s="25">
        <f>IF(OR(D10="",C10=0),"",E10/C10)</f>
        <v/>
      </c>
      <c r="G10" s="6">
        <f>IF(D10="","Enter the claim",IF(F10&gt;$B$4,"Claim is higher. Ask for the measurement sheet.",IF(F10&lt;-$B$4,"Claim is lower. Check the scope is complete.","Within the allowed difference")))</f>
        <v/>
      </c>
    </row>
    <row r="11">
      <c r="A11" s="9" t="inlineStr">
        <is>
          <t>Floor tiles</t>
        </is>
      </c>
      <c r="B11" s="13" t="inlineStr">
        <is>
          <t>tiles</t>
        </is>
      </c>
      <c r="C11" s="23">
        <f>'Paint &amp; Tiles'!B41</f>
        <v/>
      </c>
      <c r="D11" s="11" t="n"/>
      <c r="E11" s="23">
        <f>IF(D11="","",D11-C11)</f>
        <v/>
      </c>
      <c r="F11" s="25">
        <f>IF(OR(D11="",C11=0),"",E11/C11)</f>
        <v/>
      </c>
      <c r="G11" s="6">
        <f>IF(D11="","Enter the claim",IF(F11&gt;$B$4,"Claim is higher. Ask for the measurement sheet.",IF(F11&lt;-$B$4,"Claim is lower. Check the scope is complete.","Within the allowed difference")))</f>
        <v/>
      </c>
    </row>
    <row r="12">
      <c r="A12" s="9" t="inlineStr">
        <is>
          <t>Bricks</t>
        </is>
      </c>
      <c r="B12" s="13" t="inlineStr">
        <is>
          <t>pieces</t>
        </is>
      </c>
      <c r="C12" s="23">
        <f>'Bricks &amp; Blocks'!B21</f>
        <v/>
      </c>
      <c r="D12" s="11" t="n"/>
      <c r="E12" s="23">
        <f>IF(D12="","",D12-C12)</f>
        <v/>
      </c>
      <c r="F12" s="25">
        <f>IF(OR(D12="",C12=0),"",E12/C12)</f>
        <v/>
      </c>
      <c r="G12" s="6">
        <f>IF(D12="","Enter the claim",IF(F12&gt;$B$4,"Claim is higher. Ask for the measurement sheet.",IF(F12&lt;-$B$4,"Claim is lower. Check the scope is complete.","Within the allowed difference")))</f>
        <v/>
      </c>
    </row>
    <row r="13">
      <c r="A13" s="9" t="inlineStr">
        <is>
          <t>Cement bags</t>
        </is>
      </c>
      <c r="B13" s="13" t="inlineStr">
        <is>
          <t>bags</t>
        </is>
      </c>
      <c r="C13" s="23">
        <f>Concrete!B25</f>
        <v/>
      </c>
      <c r="D13" s="11" t="n"/>
      <c r="E13" s="23">
        <f>IF(D13="","",D13-C13)</f>
        <v/>
      </c>
      <c r="F13" s="25">
        <f>IF(OR(D13="",C13=0),"",E13/C13)</f>
        <v/>
      </c>
      <c r="G13" s="6">
        <f>IF(D13="","Enter the claim",IF(F13&gt;$B$4,"Claim is higher. Ask for the measurement sheet.",IF(F13&lt;-$B$4,"Claim is lower. Check the scope is complete.","Within the allowed difference")))</f>
        <v/>
      </c>
    </row>
    <row r="14">
      <c r="A14" s="9" t="inlineStr">
        <is>
          <t>Steel</t>
        </is>
      </c>
      <c r="B14" s="13" t="inlineStr">
        <is>
          <t>kg</t>
        </is>
      </c>
      <c r="C14" s="23">
        <f>Steel!D12</f>
        <v/>
      </c>
      <c r="D14" s="11" t="n"/>
      <c r="E14" s="23">
        <f>IF(D14="","",D14-C14)</f>
        <v/>
      </c>
      <c r="F14" s="25">
        <f>IF(OR(D14="",C14=0),"",E14/C14)</f>
        <v/>
      </c>
      <c r="G14" s="6">
        <f>IF(D14="","Enter the claim",IF(F14&gt;$B$4,"Claim is higher. Ask for the measurement sheet.",IF(F14&lt;-$B$4,"Claim is lower. Check the scope is complete.","Within the allowed difference")))</f>
        <v/>
      </c>
    </row>
    <row r="16">
      <c r="A16" s="13" t="inlineStr">
        <is>
          <t>A higher claim is not always wrong. Check first whether the contractor included wastage, a different unit or a different room.</t>
        </is>
      </c>
    </row>
    <row r="17">
      <c r="A17" s="13" t="inlineStr">
        <is>
          <t>Compare like with like: the same units, the same rooms, and the same wastage allowance.</t>
        </is>
      </c>
    </row>
  </sheetData>
  <sheetProtection selectLockedCells="0" selectUnlockedCells="0" sheet="1" objects="0" insertRows="1" insertHyperlinks="1" autoFilter="1" scenarios="0" formatColumns="0" deleteColumns="1" insertColumns="1" pivotTables="1" deleteRows="1" formatCells="0" formatRows="0" sort="1"/>
  <conditionalFormatting sqref="G7:G14">
    <cfRule type="expression" priority="1" dxfId="0">
      <formula>LEFT($G7,5)="Claim"</formula>
    </cfRule>
  </conditionalFormatting>
  <pageMargins left="0.75" right="0.75" top="1" bottom="1" header="0.5" footer="0.5"/>
</worksheet>
</file>

<file path=xl/worksheets/sheet26.xml><?xml version="1.0" encoding="utf-8"?>
<worksheet xmlns="http://schemas.openxmlformats.org/spreadsheetml/2006/main">
  <sheetPr>
    <tabColor rgb="002F5D50"/>
    <outlinePr summaryBelow="1" summaryRight="1"/>
    <pageSetUpPr/>
  </sheetPr>
  <dimension ref="A1:G11"/>
  <sheetViews>
    <sheetView showGridLines="0" workbookViewId="0">
      <selection activeCell="A1" sqref="A1"/>
    </sheetView>
  </sheetViews>
  <sheetFormatPr baseColWidth="8" defaultRowHeight="15"/>
  <cols>
    <col width="28" customWidth="1" min="1" max="1"/>
    <col width="16" customWidth="1" min="2" max="2"/>
    <col width="18" customWidth="1" min="3" max="3"/>
    <col width="18" customWidth="1" min="4" max="4"/>
    <col width="18" customWidth="1" min="5" max="5"/>
    <col width="12" customWidth="1" min="6" max="6"/>
    <col width="20" customWidth="1" min="7" max="7"/>
  </cols>
  <sheetData>
    <row r="1">
      <c r="A1" s="1" t="inlineStr">
        <is>
          <t>PROJECTS</t>
        </is>
      </c>
    </row>
    <row r="2">
      <c r="A2" s="2" t="inlineStr">
        <is>
          <t>Track up to five projects in one file. Enter each project's totals here.</t>
        </is>
      </c>
    </row>
    <row r="3">
      <c r="A3" s="38" t="inlineStr">
        <is>
          <t>EXAMPLE RENOVATION: placeholder rates and quantities. These totals are NOT a real estimate.</t>
        </is>
      </c>
    </row>
    <row r="5" ht="34" customHeight="1">
      <c r="A5" s="5" t="inlineStr">
        <is>
          <t>Project</t>
        </is>
      </c>
      <c r="B5" s="5" t="inlineStr">
        <is>
          <t>City</t>
        </is>
      </c>
      <c r="C5" s="5" t="inlineStr">
        <is>
          <t>Budget (₹)</t>
        </is>
      </c>
      <c r="D5" s="5" t="inlineStr">
        <is>
          <t>Estimate (₹)</t>
        </is>
      </c>
      <c r="E5" s="5" t="inlineStr">
        <is>
          <t>Spent so far (₹)</t>
        </is>
      </c>
      <c r="F5" s="5" t="inlineStr">
        <is>
          <t>% spent</t>
        </is>
      </c>
      <c r="G5" s="5" t="inlineStr">
        <is>
          <t>Status</t>
        </is>
      </c>
    </row>
    <row r="6">
      <c r="A6" s="10" t="n"/>
      <c r="B6" s="10" t="n"/>
      <c r="C6" s="12" t="n"/>
      <c r="D6" s="12" t="n"/>
      <c r="E6" s="12" t="n"/>
      <c r="F6" s="25">
        <f>IF(D6="","",IF(D6=0,"",E6/D6))</f>
        <v/>
      </c>
      <c r="G6" s="10" t="n"/>
    </row>
    <row r="7">
      <c r="A7" s="10" t="n"/>
      <c r="B7" s="10" t="n"/>
      <c r="C7" s="12" t="n"/>
      <c r="D7" s="12" t="n"/>
      <c r="E7" s="12" t="n"/>
      <c r="F7" s="25">
        <f>IF(D7="","",IF(D7=0,"",E7/D7))</f>
        <v/>
      </c>
      <c r="G7" s="10" t="n"/>
    </row>
    <row r="8">
      <c r="A8" s="10" t="n"/>
      <c r="B8" s="10" t="n"/>
      <c r="C8" s="12" t="n"/>
      <c r="D8" s="12" t="n"/>
      <c r="E8" s="12" t="n"/>
      <c r="F8" s="25">
        <f>IF(D8="","",IF(D8=0,"",E8/D8))</f>
        <v/>
      </c>
      <c r="G8" s="10" t="n"/>
    </row>
    <row r="9">
      <c r="A9" s="10" t="n"/>
      <c r="B9" s="10" t="n"/>
      <c r="C9" s="12" t="n"/>
      <c r="D9" s="12" t="n"/>
      <c r="E9" s="12" t="n"/>
      <c r="F9" s="25">
        <f>IF(D9="","",IF(D9=0,"",E9/D9))</f>
        <v/>
      </c>
      <c r="G9" s="10" t="n"/>
    </row>
    <row r="10">
      <c r="A10" s="10" t="n"/>
      <c r="B10" s="10" t="n"/>
      <c r="C10" s="12" t="n"/>
      <c r="D10" s="12" t="n"/>
      <c r="E10" s="12" t="n"/>
      <c r="F10" s="25">
        <f>IF(D10="","",IF(D10=0,"",E10/D10))</f>
        <v/>
      </c>
      <c r="G10" s="10" t="n"/>
    </row>
    <row r="11">
      <c r="A11" s="9" t="inlineStr">
        <is>
          <t>TOTAL</t>
        </is>
      </c>
      <c r="C11" s="24">
        <f>SUM(C6:C10)</f>
        <v/>
      </c>
      <c r="D11" s="24">
        <f>SUM(D6:D10)</f>
        <v/>
      </c>
      <c r="E11" s="24">
        <f>SUM(E6:E10)</f>
        <v/>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G6 G7 G8 G9 G10" showDropDown="0" showInputMessage="0" showErrorMessage="0" allowBlank="1" type="list">
      <formula1>"Planning,Under construction,Finished,On hold"</formula1>
    </dataValidation>
  </dataValidations>
  <pageMargins left="0.75" right="0.75" top="1" bottom="1" header="0.5" footer="0.5"/>
</worksheet>
</file>

<file path=xl/worksheets/sheet27.xml><?xml version="1.0" encoding="utf-8"?>
<worksheet xmlns="http://schemas.openxmlformats.org/spreadsheetml/2006/main">
  <sheetPr>
    <tabColor rgb="002F5D50"/>
    <outlinePr summaryBelow="1" summaryRight="1"/>
    <pageSetUpPr/>
  </sheetPr>
  <dimension ref="A1:J18"/>
  <sheetViews>
    <sheetView showGridLines="0" workbookViewId="0">
      <selection activeCell="A1" sqref="A1"/>
    </sheetView>
  </sheetViews>
  <sheetFormatPr baseColWidth="8" defaultRowHeight="15"/>
  <cols>
    <col width="18" customWidth="1" min="1" max="1"/>
    <col width="20" customWidth="1" min="2" max="2"/>
    <col width="14" customWidth="1" min="3" max="3"/>
    <col width="20" customWidth="1" min="4" max="4"/>
    <col width="14" customWidth="1" min="5" max="5"/>
    <col width="20" customWidth="1" min="6" max="6"/>
    <col width="14" customWidth="1" min="7" max="7"/>
    <col width="18" customWidth="1" min="8" max="8"/>
    <col width="22" customWidth="1" min="9" max="9"/>
    <col width="22" customWidth="1" min="10" max="10"/>
  </cols>
  <sheetData>
    <row r="1">
      <c r="A1" s="1" t="inlineStr">
        <is>
          <t>BIDS</t>
        </is>
      </c>
    </row>
    <row r="2">
      <c r="A2" s="2" t="inlineStr">
        <is>
          <t>Compare up to three contractor quotes for each job. The lowest bid is picked automatically.</t>
        </is>
      </c>
    </row>
    <row r="3">
      <c r="A3" s="38" t="inlineStr">
        <is>
          <t>EXAMPLE RENOVATION: placeholder rates and quantities. These totals are NOT a real estimate.</t>
        </is>
      </c>
    </row>
    <row r="5" ht="34" customHeight="1">
      <c r="A5" s="5" t="inlineStr">
        <is>
          <t>Job</t>
        </is>
      </c>
      <c r="B5" s="5" t="inlineStr">
        <is>
          <t>Contractor 1</t>
        </is>
      </c>
      <c r="C5" s="5" t="inlineStr">
        <is>
          <t>Bid 1 (₹)</t>
        </is>
      </c>
      <c r="D5" s="5" t="inlineStr">
        <is>
          <t>Contractor 2</t>
        </is>
      </c>
      <c r="E5" s="5" t="inlineStr">
        <is>
          <t>Bid 2 (₹)</t>
        </is>
      </c>
      <c r="F5" s="5" t="inlineStr">
        <is>
          <t>Contractor 3</t>
        </is>
      </c>
      <c r="G5" s="5" t="inlineStr">
        <is>
          <t>Bid 3 (₹)</t>
        </is>
      </c>
      <c r="H5" s="5" t="inlineStr">
        <is>
          <t>Lowest bid (₹)</t>
        </is>
      </c>
      <c r="I5" s="5" t="inlineStr">
        <is>
          <t>Lowest bidder</t>
        </is>
      </c>
      <c r="J5" s="5" t="inlineStr">
        <is>
          <t>Saving vs highest bid (₹)</t>
        </is>
      </c>
    </row>
    <row r="6">
      <c r="A6" s="10" t="inlineStr">
        <is>
          <t>Civil work</t>
        </is>
      </c>
      <c r="B6" s="10" t="n"/>
      <c r="C6" s="12" t="n"/>
      <c r="D6" s="10" t="n"/>
      <c r="E6" s="12" t="n"/>
      <c r="F6" s="10" t="n"/>
      <c r="G6" s="12" t="n"/>
      <c r="H6" s="24">
        <f>IF(COUNT(C6,E6,G6)=0,"",MIN(C6,E6,G6))</f>
        <v/>
      </c>
      <c r="I6" s="6">
        <f>IF(H6="","",IF(C6=H6,B6,IF(E6=H6,D6,F6)))</f>
        <v/>
      </c>
      <c r="J6" s="24">
        <f>IF(COUNT(C6,E6,G6)&lt;2,"",MAX(C6,E6,G6)-H6)</f>
        <v/>
      </c>
    </row>
    <row r="7">
      <c r="A7" s="10" t="inlineStr">
        <is>
          <t>Electrical</t>
        </is>
      </c>
      <c r="B7" s="10" t="n"/>
      <c r="C7" s="12" t="n"/>
      <c r="D7" s="10" t="n"/>
      <c r="E7" s="12" t="n"/>
      <c r="F7" s="10" t="n"/>
      <c r="G7" s="12" t="n"/>
      <c r="H7" s="24">
        <f>IF(COUNT(C7,E7,G7)=0,"",MIN(C7,E7,G7))</f>
        <v/>
      </c>
      <c r="I7" s="6">
        <f>IF(H7="","",IF(C7=H7,B7,IF(E7=H7,D7,F7)))</f>
        <v/>
      </c>
      <c r="J7" s="24">
        <f>IF(COUNT(C7,E7,G7)&lt;2,"",MAX(C7,E7,G7)-H7)</f>
        <v/>
      </c>
    </row>
    <row r="8">
      <c r="A8" s="10" t="inlineStr">
        <is>
          <t>Plumbing</t>
        </is>
      </c>
      <c r="B8" s="10" t="n"/>
      <c r="C8" s="12" t="n"/>
      <c r="D8" s="10" t="n"/>
      <c r="E8" s="12" t="n"/>
      <c r="F8" s="10" t="n"/>
      <c r="G8" s="12" t="n"/>
      <c r="H8" s="24">
        <f>IF(COUNT(C8,E8,G8)=0,"",MIN(C8,E8,G8))</f>
        <v/>
      </c>
      <c r="I8" s="6">
        <f>IF(H8="","",IF(C8=H8,B8,IF(E8=H8,D8,F8)))</f>
        <v/>
      </c>
      <c r="J8" s="24">
        <f>IF(COUNT(C8,E8,G8)&lt;2,"",MAX(C8,E8,G8)-H8)</f>
        <v/>
      </c>
    </row>
    <row r="9">
      <c r="A9" s="10" t="inlineStr">
        <is>
          <t>Painting</t>
        </is>
      </c>
      <c r="B9" s="10" t="n"/>
      <c r="C9" s="12" t="n"/>
      <c r="D9" s="10" t="n"/>
      <c r="E9" s="12" t="n"/>
      <c r="F9" s="10" t="n"/>
      <c r="G9" s="12" t="n"/>
      <c r="H9" s="24">
        <f>IF(COUNT(C9,E9,G9)=0,"",MIN(C9,E9,G9))</f>
        <v/>
      </c>
      <c r="I9" s="6">
        <f>IF(H9="","",IF(C9=H9,B9,IF(E9=H9,D9,F9)))</f>
        <v/>
      </c>
      <c r="J9" s="24">
        <f>IF(COUNT(C9,E9,G9)&lt;2,"",MAX(C9,E9,G9)-H9)</f>
        <v/>
      </c>
    </row>
    <row r="10">
      <c r="A10" s="10" t="inlineStr">
        <is>
          <t>Tiling</t>
        </is>
      </c>
      <c r="B10" s="10" t="n"/>
      <c r="C10" s="12" t="n"/>
      <c r="D10" s="10" t="n"/>
      <c r="E10" s="12" t="n"/>
      <c r="F10" s="10" t="n"/>
      <c r="G10" s="12" t="n"/>
      <c r="H10" s="24">
        <f>IF(COUNT(C10,E10,G10)=0,"",MIN(C10,E10,G10))</f>
        <v/>
      </c>
      <c r="I10" s="6">
        <f>IF(H10="","",IF(C10=H10,B10,IF(E10=H10,D10,F10)))</f>
        <v/>
      </c>
      <c r="J10" s="24">
        <f>IF(COUNT(C10,E10,G10)&lt;2,"",MAX(C10,E10,G10)-H10)</f>
        <v/>
      </c>
    </row>
    <row r="11">
      <c r="A11" s="10" t="inlineStr">
        <is>
          <t>Carpentry</t>
        </is>
      </c>
      <c r="B11" s="10" t="n"/>
      <c r="C11" s="12" t="n"/>
      <c r="D11" s="10" t="n"/>
      <c r="E11" s="12" t="n"/>
      <c r="F11" s="10" t="n"/>
      <c r="G11" s="12" t="n"/>
      <c r="H11" s="24">
        <f>IF(COUNT(C11,E11,G11)=0,"",MIN(C11,E11,G11))</f>
        <v/>
      </c>
      <c r="I11" s="6">
        <f>IF(H11="","",IF(C11=H11,B11,IF(E11=H11,D11,F11)))</f>
        <v/>
      </c>
      <c r="J11" s="24">
        <f>IF(COUNT(C11,E11,G11)&lt;2,"",MAX(C11,E11,G11)-H11)</f>
        <v/>
      </c>
    </row>
    <row r="12">
      <c r="A12" s="10" t="inlineStr">
        <is>
          <t>Kitchen</t>
        </is>
      </c>
      <c r="B12" s="10" t="n"/>
      <c r="C12" s="12" t="n"/>
      <c r="D12" s="10" t="n"/>
      <c r="E12" s="12" t="n"/>
      <c r="F12" s="10" t="n"/>
      <c r="G12" s="12" t="n"/>
      <c r="H12" s="24">
        <f>IF(COUNT(C12,E12,G12)=0,"",MIN(C12,E12,G12))</f>
        <v/>
      </c>
      <c r="I12" s="6">
        <f>IF(H12="","",IF(C12=H12,B12,IF(E12=H12,D12,F12)))</f>
        <v/>
      </c>
      <c r="J12" s="24">
        <f>IF(COUNT(C12,E12,G12)&lt;2,"",MAX(C12,E12,G12)-H12)</f>
        <v/>
      </c>
    </row>
    <row r="13">
      <c r="A13" s="10" t="inlineStr">
        <is>
          <t>Labour</t>
        </is>
      </c>
      <c r="B13" s="10" t="n"/>
      <c r="C13" s="12" t="n"/>
      <c r="D13" s="10" t="n"/>
      <c r="E13" s="12" t="n"/>
      <c r="F13" s="10" t="n"/>
      <c r="G13" s="12" t="n"/>
      <c r="H13" s="24">
        <f>IF(COUNT(C13,E13,G13)=0,"",MIN(C13,E13,G13))</f>
        <v/>
      </c>
      <c r="I13" s="6">
        <f>IF(H13="","",IF(C13=H13,B13,IF(E13=H13,D13,F13)))</f>
        <v/>
      </c>
      <c r="J13" s="24">
        <f>IF(COUNT(C13,E13,G13)&lt;2,"",MAX(C13,E13,G13)-H13)</f>
        <v/>
      </c>
    </row>
    <row r="14">
      <c r="A14" s="10" t="inlineStr">
        <is>
          <t>Other</t>
        </is>
      </c>
      <c r="B14" s="10" t="n"/>
      <c r="C14" s="12" t="n"/>
      <c r="D14" s="10" t="n"/>
      <c r="E14" s="12" t="n"/>
      <c r="F14" s="10" t="n"/>
      <c r="G14" s="12" t="n"/>
      <c r="H14" s="24">
        <f>IF(COUNT(C14,E14,G14)=0,"",MIN(C14,E14,G14))</f>
        <v/>
      </c>
      <c r="I14" s="6">
        <f>IF(H14="","",IF(C14=H14,B14,IF(E14=H14,D14,F14)))</f>
        <v/>
      </c>
      <c r="J14" s="24">
        <f>IF(COUNT(C14,E14,G14)&lt;2,"",MAX(C14,E14,G14)-H14)</f>
        <v/>
      </c>
    </row>
    <row r="16">
      <c r="A16" s="9" t="inlineStr">
        <is>
          <t>TOTAL</t>
        </is>
      </c>
      <c r="H16" s="24">
        <f>SUM(H6:H14)</f>
        <v/>
      </c>
      <c r="J16" s="24">
        <f>SUM(J6:J14)</f>
        <v/>
      </c>
    </row>
    <row r="18">
      <c r="A18" s="13" t="inlineStr">
        <is>
          <t>Add the same job from each contractor on one row. Blank bids are ignored.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8.xml><?xml version="1.0" encoding="utf-8"?>
<worksheet xmlns="http://schemas.openxmlformats.org/spreadsheetml/2006/main">
  <sheetPr>
    <tabColor rgb="002F5D50"/>
    <outlinePr summaryBelow="1" summaryRight="1"/>
    <pageSetUpPr/>
  </sheetPr>
  <dimension ref="A1:H35"/>
  <sheetViews>
    <sheetView showGridLines="0" workbookViewId="0">
      <selection activeCell="A1" sqref="A1"/>
    </sheetView>
  </sheetViews>
  <sheetFormatPr baseColWidth="8" defaultRowHeight="15"/>
  <cols>
    <col width="14" customWidth="1" min="1" max="1"/>
    <col width="22" customWidth="1" min="2" max="2"/>
    <col width="30" customWidth="1" min="3" max="3"/>
    <col width="22" customWidth="1" min="4" max="4"/>
    <col width="22" customWidth="1" min="5" max="5"/>
    <col width="26" customWidth="1" min="6" max="6"/>
    <col width="28" customWidth="1" min="7" max="7"/>
    <col width="26" customWidth="1" min="8" max="8"/>
  </cols>
  <sheetData>
    <row r="1">
      <c r="A1" s="1" t="inlineStr">
        <is>
          <t>PAYMENTS</t>
        </is>
      </c>
    </row>
    <row r="2">
      <c r="A2" s="2" t="inlineStr">
        <is>
          <t>Record what you've paid and any changes to the contract. See the balance still to pay.</t>
        </is>
      </c>
    </row>
    <row r="3">
      <c r="A3" s="38" t="inlineStr">
        <is>
          <t>EXAMPLE RENOVATION: placeholder rates and quantities. These totals are NOT a real estimate.</t>
        </is>
      </c>
    </row>
    <row r="4">
      <c r="A4" s="3" t="inlineStr">
        <is>
          <t>PAYMENTS MADE</t>
        </is>
      </c>
      <c r="B4" s="4" t="n"/>
      <c r="C4" s="4" t="n"/>
      <c r="D4" s="4" t="n"/>
      <c r="E4" s="4" t="n"/>
      <c r="F4" s="4" t="n"/>
      <c r="G4" s="3" t="inlineStr">
        <is>
          <t>SUMMARY</t>
        </is>
      </c>
    </row>
    <row r="5" ht="34" customHeight="1">
      <c r="A5" s="5" t="inlineStr">
        <is>
          <t>Date</t>
        </is>
      </c>
      <c r="B5" s="5" t="inlineStr">
        <is>
          <t>Paid to</t>
        </is>
      </c>
      <c r="C5" s="5" t="inlineStr">
        <is>
          <t>What for</t>
        </is>
      </c>
      <c r="D5" s="5" t="inlineStr">
        <is>
          <t>Amount (₹)</t>
        </is>
      </c>
      <c r="E5" s="5" t="inlineStr">
        <is>
          <t>Payment type</t>
        </is>
      </c>
      <c r="F5" s="5" t="inlineStr">
        <is>
          <t>Notes</t>
        </is>
      </c>
      <c r="G5" s="9" t="inlineStr">
        <is>
          <t>Estimated total (₹)</t>
        </is>
      </c>
      <c r="H5" s="24">
        <f>'Cost Estimate'!C29</f>
        <v/>
      </c>
    </row>
    <row r="6">
      <c r="A6" s="39" t="n"/>
      <c r="B6" s="10" t="n"/>
      <c r="C6" s="10" t="n"/>
      <c r="D6" s="12" t="n"/>
      <c r="E6" s="10" t="n"/>
      <c r="F6" s="10" t="n"/>
      <c r="G6" s="9" t="inlineStr">
        <is>
          <t>Approved changes (₹)</t>
        </is>
      </c>
      <c r="H6" s="24">
        <f>C35</f>
        <v/>
      </c>
    </row>
    <row r="7">
      <c r="A7" s="39" t="n"/>
      <c r="B7" s="10" t="n"/>
      <c r="C7" s="10" t="n"/>
      <c r="D7" s="12" t="n"/>
      <c r="E7" s="10" t="n"/>
      <c r="F7" s="10" t="n"/>
      <c r="G7" s="9" t="inlineStr">
        <is>
          <t>Revised forecast (₹)</t>
        </is>
      </c>
      <c r="H7" s="24">
        <f>IF(H11="Yes",H5+MAX(0,H6-'Cost Estimate'!C27),H5+H6)</f>
        <v/>
      </c>
    </row>
    <row r="8">
      <c r="A8" s="39" t="n"/>
      <c r="B8" s="10" t="n"/>
      <c r="C8" s="10" t="n"/>
      <c r="D8" s="12" t="n"/>
      <c r="E8" s="10" t="n"/>
      <c r="F8" s="10" t="n"/>
      <c r="G8" s="9" t="inlineStr">
        <is>
          <t>Total paid (₹)</t>
        </is>
      </c>
      <c r="H8" s="24">
        <f>D21</f>
        <v/>
      </c>
    </row>
    <row r="9">
      <c r="A9" s="39" t="n"/>
      <c r="B9" s="10" t="n"/>
      <c r="C9" s="10" t="n"/>
      <c r="D9" s="12" t="n"/>
      <c r="E9" s="10" t="n"/>
      <c r="F9" s="10" t="n"/>
      <c r="G9" s="9" t="inlineStr">
        <is>
          <t>Balance still to pay (₹)</t>
        </is>
      </c>
      <c r="H9" s="24">
        <f>H7-H8</f>
        <v/>
      </c>
    </row>
    <row r="10">
      <c r="A10" s="39" t="n"/>
      <c r="B10" s="10" t="n"/>
      <c r="C10" s="10" t="n"/>
      <c r="D10" s="12" t="n"/>
      <c r="E10" s="10" t="n"/>
      <c r="F10" s="10" t="n"/>
      <c r="G10" s="9" t="inlineStr">
        <is>
          <t>Deposits paid (₹)</t>
        </is>
      </c>
      <c r="H10" s="24">
        <f>SUMIF(E6:E20,"Deposit",D6:D20)</f>
        <v/>
      </c>
    </row>
    <row r="11">
      <c r="A11" s="39" t="n"/>
      <c r="B11" s="10" t="n"/>
      <c r="C11" s="10" t="n"/>
      <c r="D11" s="12" t="n"/>
      <c r="E11" s="10" t="n"/>
      <c r="F11" s="10" t="n"/>
      <c r="G11" s="9" t="inlineStr">
        <is>
          <t>Changes paid from contingency? (Yes/No)</t>
        </is>
      </c>
      <c r="H11" s="10" t="inlineStr">
        <is>
          <t>No</t>
        </is>
      </c>
    </row>
    <row r="12">
      <c r="A12" s="39" t="n"/>
      <c r="B12" s="10" t="n"/>
      <c r="C12" s="10" t="n"/>
      <c r="D12" s="12" t="n"/>
      <c r="E12" s="10" t="n"/>
      <c r="F12" s="10" t="n"/>
    </row>
    <row r="13">
      <c r="A13" s="39" t="n"/>
      <c r="B13" s="10" t="n"/>
      <c r="C13" s="10" t="n"/>
      <c r="D13" s="12" t="n"/>
      <c r="E13" s="10" t="n"/>
      <c r="F13" s="10" t="n"/>
    </row>
    <row r="14">
      <c r="A14" s="39" t="n"/>
      <c r="B14" s="10" t="n"/>
      <c r="C14" s="10" t="n"/>
      <c r="D14" s="12" t="n"/>
      <c r="E14" s="10" t="n"/>
      <c r="F14" s="10" t="n"/>
    </row>
    <row r="15">
      <c r="A15" s="39" t="n"/>
      <c r="B15" s="10" t="n"/>
      <c r="C15" s="10" t="n"/>
      <c r="D15" s="12" t="n"/>
      <c r="E15" s="10" t="n"/>
      <c r="F15" s="10" t="n"/>
    </row>
    <row r="16">
      <c r="A16" s="39" t="n"/>
      <c r="B16" s="10" t="n"/>
      <c r="C16" s="10" t="n"/>
      <c r="D16" s="12" t="n"/>
      <c r="E16" s="10" t="n"/>
      <c r="F16" s="10" t="n"/>
    </row>
    <row r="17">
      <c r="A17" s="39" t="n"/>
      <c r="B17" s="10" t="n"/>
      <c r="C17" s="10" t="n"/>
      <c r="D17" s="12" t="n"/>
      <c r="E17" s="10" t="n"/>
      <c r="F17" s="10" t="n"/>
    </row>
    <row r="18">
      <c r="A18" s="39" t="n"/>
      <c r="B18" s="10" t="n"/>
      <c r="C18" s="10" t="n"/>
      <c r="D18" s="12" t="n"/>
      <c r="E18" s="10" t="n"/>
      <c r="F18" s="10" t="n"/>
    </row>
    <row r="19">
      <c r="A19" s="39" t="n"/>
      <c r="B19" s="10" t="n"/>
      <c r="C19" s="10" t="n"/>
      <c r="D19" s="12" t="n"/>
      <c r="E19" s="10" t="n"/>
      <c r="F19" s="10" t="n"/>
    </row>
    <row r="20">
      <c r="A20" s="39" t="n"/>
      <c r="B20" s="10" t="n"/>
      <c r="C20" s="10" t="n"/>
      <c r="D20" s="12" t="n"/>
      <c r="E20" s="10" t="n"/>
      <c r="F20" s="10" t="n"/>
    </row>
    <row r="21">
      <c r="C21" s="9" t="inlineStr">
        <is>
          <t>TOTAL PAID</t>
        </is>
      </c>
      <c r="D21" s="24">
        <f>SUM(D6:D20)</f>
        <v/>
      </c>
    </row>
    <row r="23">
      <c r="A23" s="3" t="inlineStr">
        <is>
          <t>CHANGE ORDERS (extra work or savings agreed after the contract)</t>
        </is>
      </c>
      <c r="B23" s="4" t="n"/>
      <c r="C23" s="4" t="n"/>
      <c r="D23" s="4" t="n"/>
      <c r="E23" s="4" t="n"/>
      <c r="F23" s="4" t="n"/>
    </row>
    <row r="24" ht="34" customHeight="1">
      <c r="A24" s="5" t="inlineStr">
        <is>
          <t>Date</t>
        </is>
      </c>
      <c r="B24" s="5" t="inlineStr">
        <is>
          <t>Description</t>
        </is>
      </c>
      <c r="C24" s="5" t="inlineStr">
        <is>
          <t>Amount (₹)  (+ extra / - saving)</t>
        </is>
      </c>
      <c r="D24" s="5" t="inlineStr">
        <is>
          <t>Approved?</t>
        </is>
      </c>
    </row>
    <row r="25">
      <c r="A25" s="39" t="n"/>
      <c r="B25" s="10" t="n"/>
      <c r="C25" s="12" t="n"/>
      <c r="D25" s="10" t="n"/>
    </row>
    <row r="26">
      <c r="A26" s="39" t="n"/>
      <c r="B26" s="10" t="n"/>
      <c r="C26" s="12" t="n"/>
      <c r="D26" s="10" t="n"/>
    </row>
    <row r="27">
      <c r="A27" s="39" t="n"/>
      <c r="B27" s="10" t="n"/>
      <c r="C27" s="12" t="n"/>
      <c r="D27" s="10" t="n"/>
    </row>
    <row r="28">
      <c r="A28" s="39" t="n"/>
      <c r="B28" s="10" t="n"/>
      <c r="C28" s="12" t="n"/>
      <c r="D28" s="10" t="n"/>
    </row>
    <row r="29">
      <c r="A29" s="39" t="n"/>
      <c r="B29" s="10" t="n"/>
      <c r="C29" s="12" t="n"/>
      <c r="D29" s="10" t="n"/>
    </row>
    <row r="30">
      <c r="A30" s="39" t="n"/>
      <c r="B30" s="10" t="n"/>
      <c r="C30" s="12" t="n"/>
      <c r="D30" s="10" t="n"/>
    </row>
    <row r="31">
      <c r="A31" s="39" t="n"/>
      <c r="B31" s="10" t="n"/>
      <c r="C31" s="12" t="n"/>
      <c r="D31" s="10" t="n"/>
    </row>
    <row r="32">
      <c r="A32" s="39" t="n"/>
      <c r="B32" s="10" t="n"/>
      <c r="C32" s="12" t="n"/>
      <c r="D32" s="10" t="n"/>
    </row>
    <row r="33">
      <c r="A33" s="39" t="n"/>
      <c r="B33" s="10" t="n"/>
      <c r="C33" s="12" t="n"/>
      <c r="D33" s="10" t="n"/>
    </row>
    <row r="34">
      <c r="A34" s="39" t="n"/>
      <c r="B34" s="10" t="n"/>
      <c r="C34" s="12" t="n"/>
      <c r="D34" s="10" t="n"/>
    </row>
    <row r="35">
      <c r="B35" s="9" t="inlineStr">
        <is>
          <t>APPROVED CHANGES</t>
        </is>
      </c>
      <c r="C35" s="24">
        <f>SUMIF(D25:D34,"Yes",C25:C34)</f>
        <v/>
      </c>
    </row>
  </sheetData>
  <sheetProtection selectLockedCells="0" selectUnlockedCells="0" sheet="1" objects="0" insertRows="1" insertHyperlinks="1" autoFilter="1" scenarios="0" formatColumns="0" deleteColumns="1" insertColumns="1" pivotTables="1" deleteRows="1" formatCells="0" formatRows="0" sort="1"/>
  <dataValidations count="3">
    <dataValidation sqref="E6 E7 E8 E9 E10 E11 E12 E13 E14 E15 E16 E17 E18 E19 E20" showDropDown="0" showInputMessage="0" showErrorMessage="0" allowBlank="1" type="list">
      <formula1>"Deposit,Stage payment,Final payment,Retention,Other"</formula1>
    </dataValidation>
    <dataValidation sqref="D25 D26 D27 D28 D29 D30 D31 D32 D33 D34" showDropDown="0" showInputMessage="0" showErrorMessage="0" allowBlank="1" type="list">
      <formula1>"Yes,No,Pending"</formula1>
    </dataValidation>
    <dataValidation sqref="H11" showDropDown="0" showInputMessage="0" showErrorMessage="0" allowBlank="1" type="list">
      <formula1>"Yes,No"</formula1>
    </dataValidation>
  </dataValidations>
  <pageMargins left="0.75" right="0.75" top="1" bottom="1" header="0.5" footer="0.5"/>
</worksheet>
</file>

<file path=xl/worksheets/sheet29.xml><?xml version="1.0" encoding="utf-8"?>
<worksheet xmlns="http://schemas.openxmlformats.org/spreadsheetml/2006/main">
  <sheetPr>
    <tabColor rgb="002F5D50"/>
    <outlinePr summaryBelow="1" summaryRight="1"/>
    <pageSetUpPr/>
  </sheetPr>
  <dimension ref="A1:G28"/>
  <sheetViews>
    <sheetView showGridLines="0" workbookViewId="0">
      <pane ySplit="5" topLeftCell="A6" activePane="bottomLeft" state="frozen"/>
      <selection pane="bottomLeft" activeCell="A1" sqref="A1"/>
    </sheetView>
  </sheetViews>
  <sheetFormatPr baseColWidth="8" defaultRowHeight="15"/>
  <cols>
    <col width="30" customWidth="1" min="1" max="1"/>
    <col width="16" customWidth="1" min="2" max="2"/>
    <col width="16" customWidth="1" min="3" max="3"/>
    <col width="10" customWidth="1" min="4" max="4"/>
    <col width="16" customWidth="1" min="5" max="5"/>
    <col width="14" customWidth="1" min="6" max="6"/>
    <col width="14" customWidth="1" min="7" max="7"/>
  </cols>
  <sheetData>
    <row r="1">
      <c r="A1" s="1" t="inlineStr">
        <is>
          <t>TIMELINE</t>
        </is>
      </c>
    </row>
    <row r="2">
      <c r="A2" s="2" t="inlineStr">
        <is>
          <t>Plan your stages, track progress and see how many days are left. Dates start from the Setup start date.</t>
        </is>
      </c>
    </row>
    <row r="3">
      <c r="A3" s="38" t="inlineStr">
        <is>
          <t>EXAMPLE RENOVATION: placeholder rates and quantities. These totals are NOT a real estimate.</t>
        </is>
      </c>
    </row>
    <row r="5" ht="34" customHeight="1">
      <c r="A5" s="5" t="inlineStr">
        <is>
          <t>Phase / task</t>
        </is>
      </c>
      <c r="B5" s="5" t="inlineStr">
        <is>
          <t>Start date</t>
        </is>
      </c>
      <c r="C5" s="5" t="inlineStr">
        <is>
          <t>End date</t>
        </is>
      </c>
      <c r="D5" s="5" t="inlineStr">
        <is>
          <t>Days</t>
        </is>
      </c>
      <c r="E5" s="5" t="inlineStr">
        <is>
          <t>Status</t>
        </is>
      </c>
      <c r="F5" s="5" t="inlineStr">
        <is>
          <t>Progress (%)</t>
        </is>
      </c>
      <c r="G5" s="5" t="inlineStr">
        <is>
          <t>Days left</t>
        </is>
      </c>
    </row>
    <row r="6">
      <c r="A6" s="10" t="inlineStr">
        <is>
          <t>Design &amp; approvals</t>
        </is>
      </c>
      <c r="B6" s="39">
        <f>IF(Setup!$B$14="",DATE(2026,11,1),Setup!$B$14)+0</f>
        <v/>
      </c>
      <c r="C6" s="39">
        <f>IF(Setup!$B$14="",DATE(2026,11,1),Setup!$B$14)+20</f>
        <v/>
      </c>
      <c r="D6" s="21">
        <f>IF(OR(B6="",C6=""),"",C6-B6+1)</f>
        <v/>
      </c>
      <c r="E6" s="10" t="inlineStr">
        <is>
          <t>Not started</t>
        </is>
      </c>
      <c r="F6" s="17" t="n">
        <v>0</v>
      </c>
      <c r="G6" s="21">
        <f>IF(C6="","",C6-TODAY())</f>
        <v/>
      </c>
    </row>
    <row r="7">
      <c r="A7" s="10" t="inlineStr">
        <is>
          <t>Site preparation</t>
        </is>
      </c>
      <c r="B7" s="39">
        <f>IF(Setup!$B$14="",DATE(2026,11,1),Setup!$B$14)+21</f>
        <v/>
      </c>
      <c r="C7" s="39">
        <f>IF(Setup!$B$14="",DATE(2026,11,1),Setup!$B$14)+27</f>
        <v/>
      </c>
      <c r="D7" s="21">
        <f>IF(OR(B7="",C7=""),"",C7-B7+1)</f>
        <v/>
      </c>
      <c r="E7" s="10" t="inlineStr">
        <is>
          <t>Not started</t>
        </is>
      </c>
      <c r="F7" s="17" t="n">
        <v>0</v>
      </c>
      <c r="G7" s="21">
        <f>IF(C7="","",C7-TODAY())</f>
        <v/>
      </c>
    </row>
    <row r="8">
      <c r="A8" s="10" t="inlineStr">
        <is>
          <t>Foundation</t>
        </is>
      </c>
      <c r="B8" s="39">
        <f>IF(Setup!$B$14="",DATE(2026,11,1),Setup!$B$14)+28</f>
        <v/>
      </c>
      <c r="C8" s="39">
        <f>IF(Setup!$B$14="",DATE(2026,11,1),Setup!$B$14)+41</f>
        <v/>
      </c>
      <c r="D8" s="21">
        <f>IF(OR(B8="",C8=""),"",C8-B8+1)</f>
        <v/>
      </c>
      <c r="E8" s="10" t="inlineStr">
        <is>
          <t>Not started</t>
        </is>
      </c>
      <c r="F8" s="17" t="n">
        <v>0</v>
      </c>
      <c r="G8" s="21">
        <f>IF(C8="","",C8-TODAY())</f>
        <v/>
      </c>
    </row>
    <row r="9">
      <c r="A9" s="10" t="inlineStr">
        <is>
          <t>Structure (columns &amp; beams)</t>
        </is>
      </c>
      <c r="B9" s="39">
        <f>IF(Setup!$B$14="",DATE(2026,11,1),Setup!$B$14)+42</f>
        <v/>
      </c>
      <c r="C9" s="39">
        <f>IF(Setup!$B$14="",DATE(2026,11,1),Setup!$B$14)+69</f>
        <v/>
      </c>
      <c r="D9" s="21">
        <f>IF(OR(B9="",C9=""),"",C9-B9+1)</f>
        <v/>
      </c>
      <c r="E9" s="10" t="inlineStr">
        <is>
          <t>Not started</t>
        </is>
      </c>
      <c r="F9" s="17" t="n">
        <v>0</v>
      </c>
      <c r="G9" s="21">
        <f>IF(C9="","",C9-TODAY())</f>
        <v/>
      </c>
    </row>
    <row r="10">
      <c r="A10" s="10" t="inlineStr">
        <is>
          <t>Brickwork</t>
        </is>
      </c>
      <c r="B10" s="39">
        <f>IF(Setup!$B$14="",DATE(2026,11,1),Setup!$B$14)+70</f>
        <v/>
      </c>
      <c r="C10" s="39">
        <f>IF(Setup!$B$14="",DATE(2026,11,1),Setup!$B$14)+90</f>
        <v/>
      </c>
      <c r="D10" s="21">
        <f>IF(OR(B10="",C10=""),"",C10-B10+1)</f>
        <v/>
      </c>
      <c r="E10" s="10" t="inlineStr">
        <is>
          <t>Not started</t>
        </is>
      </c>
      <c r="F10" s="17" t="n">
        <v>0</v>
      </c>
      <c r="G10" s="21">
        <f>IF(C10="","",C10-TODAY())</f>
        <v/>
      </c>
    </row>
    <row r="11">
      <c r="A11" s="10" t="inlineStr">
        <is>
          <t>Plumbing &amp; electrical</t>
        </is>
      </c>
      <c r="B11" s="39">
        <f>IF(Setup!$B$14="",DATE(2026,11,1),Setup!$B$14)+91</f>
        <v/>
      </c>
      <c r="C11" s="39">
        <f>IF(Setup!$B$14="",DATE(2026,11,1),Setup!$B$14)+111</f>
        <v/>
      </c>
      <c r="D11" s="21">
        <f>IF(OR(B11="",C11=""),"",C11-B11+1)</f>
        <v/>
      </c>
      <c r="E11" s="10" t="inlineStr">
        <is>
          <t>Not started</t>
        </is>
      </c>
      <c r="F11" s="17" t="n">
        <v>0</v>
      </c>
      <c r="G11" s="21">
        <f>IF(C11="","",C11-TODAY())</f>
        <v/>
      </c>
    </row>
    <row r="12">
      <c r="A12" s="10" t="inlineStr">
        <is>
          <t>Plastering</t>
        </is>
      </c>
      <c r="B12" s="39">
        <f>IF(Setup!$B$14="",DATE(2026,11,1),Setup!$B$14)+112</f>
        <v/>
      </c>
      <c r="C12" s="39">
        <f>IF(Setup!$B$14="",DATE(2026,11,1),Setup!$B$14)+125</f>
        <v/>
      </c>
      <c r="D12" s="21">
        <f>IF(OR(B12="",C12=""),"",C12-B12+1)</f>
        <v/>
      </c>
      <c r="E12" s="10" t="inlineStr">
        <is>
          <t>Not started</t>
        </is>
      </c>
      <c r="F12" s="17" t="n">
        <v>0</v>
      </c>
      <c r="G12" s="21">
        <f>IF(C12="","",C12-TODAY())</f>
        <v/>
      </c>
    </row>
    <row r="13">
      <c r="A13" s="10" t="inlineStr">
        <is>
          <t>Flooring</t>
        </is>
      </c>
      <c r="B13" s="39">
        <f>IF(Setup!$B$14="",DATE(2026,11,1),Setup!$B$14)+126</f>
        <v/>
      </c>
      <c r="C13" s="39">
        <f>IF(Setup!$B$14="",DATE(2026,11,1),Setup!$B$14)+139</f>
        <v/>
      </c>
      <c r="D13" s="21">
        <f>IF(OR(B13="",C13=""),"",C13-B13+1)</f>
        <v/>
      </c>
      <c r="E13" s="10" t="inlineStr">
        <is>
          <t>Not started</t>
        </is>
      </c>
      <c r="F13" s="17" t="n">
        <v>0</v>
      </c>
      <c r="G13" s="21">
        <f>IF(C13="","",C13-TODAY())</f>
        <v/>
      </c>
    </row>
    <row r="14">
      <c r="A14" s="10" t="inlineStr">
        <is>
          <t>Painting</t>
        </is>
      </c>
      <c r="B14" s="39">
        <f>IF(Setup!$B$14="",DATE(2026,11,1),Setup!$B$14)+140</f>
        <v/>
      </c>
      <c r="C14" s="39">
        <f>IF(Setup!$B$14="",DATE(2026,11,1),Setup!$B$14)+149</f>
        <v/>
      </c>
      <c r="D14" s="21">
        <f>IF(OR(B14="",C14=""),"",C14-B14+1)</f>
        <v/>
      </c>
      <c r="E14" s="10" t="inlineStr">
        <is>
          <t>Not started</t>
        </is>
      </c>
      <c r="F14" s="17" t="n">
        <v>0</v>
      </c>
      <c r="G14" s="21">
        <f>IF(C14="","",C14-TODAY())</f>
        <v/>
      </c>
    </row>
    <row r="15">
      <c r="A15" s="10" t="inlineStr">
        <is>
          <t>Fixtures &amp; finishing</t>
        </is>
      </c>
      <c r="B15" s="39">
        <f>IF(Setup!$B$14="",DATE(2026,11,1),Setup!$B$14)+150</f>
        <v/>
      </c>
      <c r="C15" s="39">
        <f>IF(Setup!$B$14="",DATE(2026,11,1),Setup!$B$14)+163</f>
        <v/>
      </c>
      <c r="D15" s="21">
        <f>IF(OR(B15="",C15=""),"",C15-B15+1)</f>
        <v/>
      </c>
      <c r="E15" s="10" t="inlineStr">
        <is>
          <t>Not started</t>
        </is>
      </c>
      <c r="F15" s="17" t="n">
        <v>0</v>
      </c>
      <c r="G15" s="21">
        <f>IF(C15="","",C15-TODAY())</f>
        <v/>
      </c>
    </row>
    <row r="16">
      <c r="A16" s="10" t="inlineStr">
        <is>
          <t>Handover</t>
        </is>
      </c>
      <c r="B16" s="39">
        <f>IF(Setup!$B$14="",DATE(2026,11,1),Setup!$B$14)+164</f>
        <v/>
      </c>
      <c r="C16" s="39">
        <f>IF(Setup!$B$14="",DATE(2026,11,1),Setup!$B$14)+166</f>
        <v/>
      </c>
      <c r="D16" s="21">
        <f>IF(OR(B16="",C16=""),"",C16-B16+1)</f>
        <v/>
      </c>
      <c r="E16" s="10" t="inlineStr">
        <is>
          <t>Not started</t>
        </is>
      </c>
      <c r="F16" s="17" t="n">
        <v>0</v>
      </c>
      <c r="G16" s="21">
        <f>IF(C16="","",C16-TODAY())</f>
        <v/>
      </c>
    </row>
    <row r="17">
      <c r="A17" s="10" t="n"/>
      <c r="B17" s="39" t="n"/>
      <c r="C17" s="39" t="n"/>
      <c r="D17" s="21">
        <f>IF(OR(B17="",C17=""),"",C17-B17+1)</f>
        <v/>
      </c>
      <c r="E17" s="10" t="n"/>
      <c r="F17" s="17" t="n"/>
      <c r="G17" s="21">
        <f>IF(C17="","",C17-TODAY())</f>
        <v/>
      </c>
    </row>
    <row r="18">
      <c r="A18" s="10" t="n"/>
      <c r="B18" s="39" t="n"/>
      <c r="C18" s="39" t="n"/>
      <c r="D18" s="21">
        <f>IF(OR(B18="",C18=""),"",C18-B18+1)</f>
        <v/>
      </c>
      <c r="E18" s="10" t="n"/>
      <c r="F18" s="17" t="n"/>
      <c r="G18" s="21">
        <f>IF(C18="","",C18-TODAY())</f>
        <v/>
      </c>
    </row>
    <row r="19">
      <c r="A19" s="10" t="n"/>
      <c r="B19" s="39" t="n"/>
      <c r="C19" s="39" t="n"/>
      <c r="D19" s="21">
        <f>IF(OR(B19="",C19=""),"",C19-B19+1)</f>
        <v/>
      </c>
      <c r="E19" s="10" t="n"/>
      <c r="F19" s="17" t="n"/>
      <c r="G19" s="21">
        <f>IF(C19="","",C19-TODAY())</f>
        <v/>
      </c>
    </row>
    <row r="20">
      <c r="A20" s="10" t="n"/>
      <c r="B20" s="39" t="n"/>
      <c r="C20" s="39" t="n"/>
      <c r="D20" s="21">
        <f>IF(OR(B20="",C20=""),"",C20-B20+1)</f>
        <v/>
      </c>
      <c r="E20" s="10" t="n"/>
      <c r="F20" s="17" t="n"/>
      <c r="G20" s="21">
        <f>IF(C20="","",C20-TODAY())</f>
        <v/>
      </c>
    </row>
    <row r="21">
      <c r="A21" s="10" t="n"/>
      <c r="B21" s="39" t="n"/>
      <c r="C21" s="39" t="n"/>
      <c r="D21" s="21">
        <f>IF(OR(B21="",C21=""),"",C21-B21+1)</f>
        <v/>
      </c>
      <c r="E21" s="10" t="n"/>
      <c r="F21" s="17" t="n"/>
      <c r="G21" s="21">
        <f>IF(C21="","",C21-TODAY())</f>
        <v/>
      </c>
    </row>
    <row r="22">
      <c r="A22" s="10" t="n"/>
      <c r="B22" s="39" t="n"/>
      <c r="C22" s="39" t="n"/>
      <c r="D22" s="21">
        <f>IF(OR(B22="",C22=""),"",C22-B22+1)</f>
        <v/>
      </c>
      <c r="E22" s="10" t="n"/>
      <c r="F22" s="17" t="n"/>
      <c r="G22" s="21">
        <f>IF(C22="","",C22-TODAY())</f>
        <v/>
      </c>
    </row>
    <row r="23">
      <c r="A23" s="10" t="n"/>
      <c r="B23" s="39" t="n"/>
      <c r="C23" s="39" t="n"/>
      <c r="D23" s="21">
        <f>IF(OR(B23="",C23=""),"",C23-B23+1)</f>
        <v/>
      </c>
      <c r="E23" s="10" t="n"/>
      <c r="F23" s="17" t="n"/>
      <c r="G23" s="21">
        <f>IF(C23="","",C23-TODAY())</f>
        <v/>
      </c>
    </row>
    <row r="24">
      <c r="A24" s="10" t="n"/>
      <c r="B24" s="39" t="n"/>
      <c r="C24" s="39" t="n"/>
      <c r="D24" s="21">
        <f>IF(OR(B24="",C24=""),"",C24-B24+1)</f>
        <v/>
      </c>
      <c r="E24" s="10" t="n"/>
      <c r="F24" s="17" t="n"/>
      <c r="G24" s="21">
        <f>IF(C24="","",C24-TODAY())</f>
        <v/>
      </c>
    </row>
    <row r="25">
      <c r="A25" s="10" t="n"/>
      <c r="B25" s="39" t="n"/>
      <c r="C25" s="39" t="n"/>
      <c r="D25" s="21">
        <f>IF(OR(B25="",C25=""),"",C25-B25+1)</f>
        <v/>
      </c>
      <c r="E25" s="10" t="n"/>
      <c r="F25" s="17" t="n"/>
      <c r="G25" s="21">
        <f>IF(C25="","",C25-TODAY())</f>
        <v/>
      </c>
    </row>
    <row r="27">
      <c r="A27" s="13" t="inlineStr">
        <is>
          <t>Dates are formulas from the Setup start date. Type over them to set your own dates.</t>
        </is>
      </c>
    </row>
    <row r="28">
      <c r="A28" s="13" t="inlineStr">
        <is>
          <t>Durations and task names are placeholders. Adjust them to your build before you rely on the dates.</t>
        </is>
      </c>
    </row>
  </sheetData>
  <sheetProtection selectLockedCells="0" selectUnlockedCells="0" sheet="1" objects="0" insertRows="1" insertHyperlinks="1" autoFilter="1" scenarios="0" formatColumns="0" deleteColumns="1" insertColumns="1" pivotTables="1" deleteRows="1" formatCells="0" formatRows="0" sort="1"/>
  <conditionalFormatting sqref="G6:G25">
    <cfRule type="expression" priority="1" dxfId="0">
      <formula>AND(ISNUMBER($G6),$G6&lt;0,$E6&lt;&gt;"Done")</formula>
    </cfRule>
  </conditionalFormatting>
  <dataValidations count="1">
    <dataValidation sqref="E6 E7 E8 E9 E10 E11 E12 E13 E14 E15 E16 E17 E18 E19 E20 E21 E22 E23 E24 E25" showDropDown="0" showInputMessage="0" showErrorMessage="0" allowBlank="1" type="list">
      <formula1>"Not started,In progress,Done,On hold"</formula1>
    </dataValidation>
  </dataValidations>
  <pageMargins left="0.75" right="0.75" top="1" bottom="1" header="0.5" footer="0.5"/>
</worksheet>
</file>

<file path=xl/worksheets/sheet30.xml><?xml version="1.0" encoding="utf-8"?>
<worksheet xmlns="http://schemas.openxmlformats.org/spreadsheetml/2006/main">
  <sheetPr>
    <tabColor rgb="002F5D50"/>
    <outlinePr summaryBelow="1" summaryRight="1"/>
    <pageSetUpPr fitToPage="1"/>
  </sheetPr>
  <dimension ref="A1:C37"/>
  <sheetViews>
    <sheetView showGridLines="0" workbookViewId="0">
      <selection activeCell="A1" sqref="A1"/>
    </sheetView>
  </sheetViews>
  <sheetFormatPr baseColWidth="8" defaultRowHeight="15"/>
  <cols>
    <col width="14" customWidth="1" min="1" max="1"/>
    <col width="42" customWidth="1" min="2" max="2"/>
    <col width="22" customWidth="1" min="3" max="3"/>
  </cols>
  <sheetData>
    <row r="1">
      <c r="A1" s="1" t="inlineStr">
        <is>
          <t>QUOTATION</t>
        </is>
      </c>
    </row>
    <row r="2">
      <c r="A2" s="2" t="inlineStr">
        <is>
          <t>Print-ready estimate for your client. Fill in your details and print or save as PDF.</t>
        </is>
      </c>
    </row>
    <row r="3">
      <c r="A3" s="38" t="inlineStr">
        <is>
          <t>EXAMPLE RENOVATION: placeholder rates and quantities. These totals are NOT a real estimate.</t>
        </is>
      </c>
    </row>
    <row r="4">
      <c r="A4" s="9" t="inlineStr">
        <is>
          <t>From (your company)</t>
        </is>
      </c>
      <c r="B4" s="10" t="inlineStr">
        <is>
          <t>Your company name</t>
        </is>
      </c>
    </row>
    <row r="5">
      <c r="A5" s="9" t="inlineStr">
        <is>
          <t>To (client)</t>
        </is>
      </c>
      <c r="B5" s="6">
        <f>Setup!B6</f>
        <v/>
      </c>
    </row>
    <row r="6">
      <c r="A6" s="9" t="inlineStr">
        <is>
          <t>Project</t>
        </is>
      </c>
      <c r="B6" s="6">
        <f>Setup!B5</f>
        <v/>
      </c>
    </row>
    <row r="7">
      <c r="A7" s="9" t="inlineStr">
        <is>
          <t>Location</t>
        </is>
      </c>
      <c r="B7" s="6">
        <f>Setup!B7</f>
        <v/>
      </c>
    </row>
    <row r="8">
      <c r="A8" s="9" t="inlineStr">
        <is>
          <t>Date</t>
        </is>
      </c>
      <c r="B8" s="39">
        <f>TODAY()</f>
        <v/>
      </c>
    </row>
    <row r="10" ht="34" customHeight="1">
      <c r="A10" s="5" t="inlineStr">
        <is>
          <t>No.</t>
        </is>
      </c>
      <c r="B10" s="5" t="inlineStr">
        <is>
          <t>Item</t>
        </is>
      </c>
      <c r="C10" s="5" t="inlineStr">
        <is>
          <t>Amount (₹)</t>
        </is>
      </c>
    </row>
    <row r="11">
      <c r="A11" s="21" t="n">
        <v>1</v>
      </c>
      <c r="B11" s="6">
        <f>'Cost Estimate'!A6</f>
        <v/>
      </c>
      <c r="C11" s="24">
        <f>'Cost Estimate'!C6</f>
        <v/>
      </c>
    </row>
    <row r="12">
      <c r="A12" s="21" t="n">
        <v>2</v>
      </c>
      <c r="B12" s="6">
        <f>'Cost Estimate'!A7</f>
        <v/>
      </c>
      <c r="C12" s="24">
        <f>'Cost Estimate'!C7</f>
        <v/>
      </c>
    </row>
    <row r="13">
      <c r="A13" s="21" t="n">
        <v>3</v>
      </c>
      <c r="B13" s="6">
        <f>'Cost Estimate'!A8</f>
        <v/>
      </c>
      <c r="C13" s="24">
        <f>'Cost Estimate'!C8</f>
        <v/>
      </c>
    </row>
    <row r="14">
      <c r="A14" s="21" t="n">
        <v>4</v>
      </c>
      <c r="B14" s="6">
        <f>'Cost Estimate'!A9</f>
        <v/>
      </c>
      <c r="C14" s="24">
        <f>'Cost Estimate'!C9</f>
        <v/>
      </c>
    </row>
    <row r="15">
      <c r="A15" s="21" t="n">
        <v>5</v>
      </c>
      <c r="B15" s="6">
        <f>'Cost Estimate'!A10</f>
        <v/>
      </c>
      <c r="C15" s="24">
        <f>'Cost Estimate'!C10</f>
        <v/>
      </c>
    </row>
    <row r="16">
      <c r="A16" s="21" t="n">
        <v>6</v>
      </c>
      <c r="B16" s="6">
        <f>'Cost Estimate'!A11</f>
        <v/>
      </c>
      <c r="C16" s="24">
        <f>'Cost Estimate'!C11</f>
        <v/>
      </c>
    </row>
    <row r="17">
      <c r="A17" s="21" t="n">
        <v>7</v>
      </c>
      <c r="B17" s="6">
        <f>'Cost Estimate'!A12</f>
        <v/>
      </c>
      <c r="C17" s="24">
        <f>'Cost Estimate'!C12</f>
        <v/>
      </c>
    </row>
    <row r="18">
      <c r="A18" s="21" t="n">
        <v>8</v>
      </c>
      <c r="B18" s="6">
        <f>'Cost Estimate'!A13</f>
        <v/>
      </c>
      <c r="C18" s="24">
        <f>'Cost Estimate'!C13</f>
        <v/>
      </c>
    </row>
    <row r="19">
      <c r="A19" s="21" t="n">
        <v>9</v>
      </c>
      <c r="B19" s="6">
        <f>'Cost Estimate'!A14</f>
        <v/>
      </c>
      <c r="C19" s="24">
        <f>'Cost Estimate'!C14</f>
        <v/>
      </c>
    </row>
    <row r="20">
      <c r="A20" s="21" t="n">
        <v>10</v>
      </c>
      <c r="B20" s="6">
        <f>'Cost Estimate'!A15</f>
        <v/>
      </c>
      <c r="C20" s="24">
        <f>'Cost Estimate'!C15</f>
        <v/>
      </c>
    </row>
    <row r="21">
      <c r="A21" s="21" t="n">
        <v>11</v>
      </c>
      <c r="B21" s="6">
        <f>'Cost Estimate'!A16</f>
        <v/>
      </c>
      <c r="C21" s="24">
        <f>'Cost Estimate'!C16</f>
        <v/>
      </c>
    </row>
    <row r="22">
      <c r="A22" s="21" t="n">
        <v>12</v>
      </c>
      <c r="B22" s="6">
        <f>'Cost Estimate'!A17</f>
        <v/>
      </c>
      <c r="C22" s="24">
        <f>'Cost Estimate'!C17</f>
        <v/>
      </c>
    </row>
    <row r="23">
      <c r="A23" s="21" t="n">
        <v>13</v>
      </c>
      <c r="B23" s="6">
        <f>'Cost Estimate'!A18</f>
        <v/>
      </c>
      <c r="C23" s="24">
        <f>'Cost Estimate'!C18</f>
        <v/>
      </c>
    </row>
    <row r="24">
      <c r="A24" s="21" t="n">
        <v>14</v>
      </c>
      <c r="B24" s="6">
        <f>'Cost Estimate'!A19</f>
        <v/>
      </c>
      <c r="C24" s="24">
        <f>'Cost Estimate'!C19</f>
        <v/>
      </c>
    </row>
    <row r="25">
      <c r="A25" s="21" t="n">
        <v>15</v>
      </c>
      <c r="B25" s="6">
        <f>'Cost Estimate'!A20</f>
        <v/>
      </c>
      <c r="C25" s="24">
        <f>'Cost Estimate'!C20</f>
        <v/>
      </c>
    </row>
    <row r="26">
      <c r="A26" s="21" t="n">
        <v>16</v>
      </c>
      <c r="B26" s="6">
        <f>'Cost Estimate'!A21</f>
        <v/>
      </c>
      <c r="C26" s="24">
        <f>'Cost Estimate'!C21</f>
        <v/>
      </c>
    </row>
    <row r="27">
      <c r="A27" s="21" t="n">
        <v>17</v>
      </c>
      <c r="B27" s="6">
        <f>'Cost Estimate'!A22</f>
        <v/>
      </c>
      <c r="C27" s="24">
        <f>'Cost Estimate'!C22</f>
        <v/>
      </c>
    </row>
    <row r="28">
      <c r="A28" s="21" t="n">
        <v>18</v>
      </c>
      <c r="B28" s="6">
        <f>'Cost Estimate'!A23</f>
        <v/>
      </c>
      <c r="C28" s="24">
        <f>'Cost Estimate'!C23</f>
        <v/>
      </c>
    </row>
    <row r="29">
      <c r="A29" s="21" t="n">
        <v>19</v>
      </c>
      <c r="B29" s="6">
        <f>'Cost Estimate'!A24</f>
        <v/>
      </c>
      <c r="C29" s="24">
        <f>'Cost Estimate'!C24</f>
        <v/>
      </c>
    </row>
    <row r="30">
      <c r="A30" s="21" t="n">
        <v>20</v>
      </c>
      <c r="B30" s="6">
        <f>'Cost Estimate'!A25</f>
        <v/>
      </c>
      <c r="C30" s="24">
        <f>'Cost Estimate'!C25</f>
        <v/>
      </c>
    </row>
    <row r="31">
      <c r="B31" s="9" t="inlineStr">
        <is>
          <t>Subtotal</t>
        </is>
      </c>
      <c r="C31" s="24">
        <f>SUM(C11:C30)</f>
        <v/>
      </c>
    </row>
    <row r="32">
      <c r="B32" s="13" t="inlineStr">
        <is>
          <t>Contingency</t>
        </is>
      </c>
      <c r="C32" s="24">
        <f>'Cost Estimate'!C27</f>
        <v/>
      </c>
    </row>
    <row r="33">
      <c r="B33" s="13" t="inlineStr">
        <is>
          <t>GST</t>
        </is>
      </c>
      <c r="C33" s="24">
        <f>'Cost Estimate'!C28</f>
        <v/>
      </c>
    </row>
    <row r="34">
      <c r="B34" s="9" t="inlineStr">
        <is>
          <t>TOTAL</t>
        </is>
      </c>
      <c r="C34" s="24">
        <f>C31+C32+C33</f>
        <v/>
      </c>
    </row>
    <row r="36">
      <c r="A36" s="9" t="inlineStr">
        <is>
          <t>Terms</t>
        </is>
      </c>
      <c r="B36" s="13" t="inlineStr">
        <is>
          <t>Quotation valid for (days)</t>
        </is>
      </c>
      <c r="C36" s="22" t="n">
        <v>30</v>
      </c>
    </row>
    <row r="37">
      <c r="B37" s="36" t="inlineStr">
        <is>
          <t>Quantities are estimates. Final billing is based on measured work. Confirm the GST rate before sending. The file default of 0% is a placeholder.</t>
        </is>
      </c>
      <c r="C37" s="37" t="n"/>
    </row>
  </sheetData>
  <sheetProtection selectLockedCells="0" selectUnlockedCells="0" sheet="1" objects="0" insertRows="1" insertHyperlinks="1" autoFilter="1" scenarios="0" formatColumns="0" deleteColumns="1" insertColumns="1" pivotTables="1" deleteRows="1" formatCells="0" formatRows="0" sort="1"/>
  <mergeCells count="1">
    <mergeCell ref="B37:C37"/>
  </mergeCells>
  <pageMargins left="0.75" right="0.75" top="1" bottom="1" header="0.5" footer="0.5"/>
  <pageSetup fitToHeight="0" fitToWidth="1"/>
</worksheet>
</file>

<file path=xl/worksheets/sheet31.xml><?xml version="1.0" encoding="utf-8"?>
<worksheet xmlns="http://schemas.openxmlformats.org/spreadsheetml/2006/main">
  <sheetPr>
    <tabColor rgb="002F5D50"/>
    <outlinePr summaryBelow="1" summaryRight="1"/>
    <pageSetUpPr/>
  </sheetPr>
  <dimension ref="A1:G80"/>
  <sheetViews>
    <sheetView showGridLines="0" workbookViewId="0">
      <pane ySplit="5" topLeftCell="A6" activePane="bottomLeft" state="frozen"/>
      <selection pane="bottomLeft" activeCell="A1" sqref="A1"/>
    </sheetView>
  </sheetViews>
  <sheetFormatPr baseColWidth="8" defaultRowHeight="15"/>
  <cols>
    <col width="26" customWidth="1" min="1" max="1"/>
    <col width="16" customWidth="1" min="2" max="2"/>
    <col width="16" customWidth="1" min="3" max="3"/>
    <col width="24" customWidth="1" min="4" max="4"/>
    <col width="14" customWidth="1" min="5" max="5"/>
    <col width="16" customWidth="1" min="6" max="6"/>
    <col width="30" customWidth="1" min="7" max="7"/>
  </cols>
  <sheetData>
    <row r="1">
      <c r="A1" s="1" t="inlineStr">
        <is>
          <t>RATE LIBRARY</t>
        </is>
      </c>
    </row>
    <row r="2">
      <c r="A2" s="2" t="inlineStr">
        <is>
          <t>Keep rates from different suppliers and cities. Copy the chosen rate to the Rates tab.</t>
        </is>
      </c>
    </row>
    <row r="3">
      <c r="A3" s="38" t="inlineStr">
        <is>
          <t>EXAMPLE RENOVATION: placeholder rates and quantities. These totals are NOT a real estimate.</t>
        </is>
      </c>
    </row>
    <row r="5" ht="34" customHeight="1">
      <c r="A5" s="5" t="inlineStr">
        <is>
          <t>Item</t>
        </is>
      </c>
      <c r="B5" s="5" t="inlineStr">
        <is>
          <t>Unit</t>
        </is>
      </c>
      <c r="C5" s="5" t="inlineStr">
        <is>
          <t>City</t>
        </is>
      </c>
      <c r="D5" s="5" t="inlineStr">
        <is>
          <t>Supplier</t>
        </is>
      </c>
      <c r="E5" s="5" t="inlineStr">
        <is>
          <t>Rate (₹)</t>
        </is>
      </c>
      <c r="F5" s="5" t="inlineStr">
        <is>
          <t>Date updated</t>
        </is>
      </c>
      <c r="G5" s="5" t="inlineStr">
        <is>
          <t>Notes</t>
        </is>
      </c>
    </row>
    <row r="6">
      <c r="A6" s="10" t="n"/>
      <c r="B6" s="10" t="n"/>
      <c r="C6" s="10" t="n"/>
      <c r="D6" s="10" t="n"/>
      <c r="E6" s="12" t="n"/>
      <c r="F6" s="39" t="n"/>
      <c r="G6" s="10" t="n"/>
    </row>
    <row r="7">
      <c r="A7" s="10" t="n"/>
      <c r="B7" s="10" t="n"/>
      <c r="C7" s="10" t="n"/>
      <c r="D7" s="10" t="n"/>
      <c r="E7" s="12" t="n"/>
      <c r="F7" s="39" t="n"/>
      <c r="G7" s="10" t="n"/>
    </row>
    <row r="8">
      <c r="A8" s="10" t="n"/>
      <c r="B8" s="10" t="n"/>
      <c r="C8" s="10" t="n"/>
      <c r="D8" s="10" t="n"/>
      <c r="E8" s="12" t="n"/>
      <c r="F8" s="39" t="n"/>
      <c r="G8" s="10" t="n"/>
    </row>
    <row r="9">
      <c r="A9" s="10" t="n"/>
      <c r="B9" s="10" t="n"/>
      <c r="C9" s="10" t="n"/>
      <c r="D9" s="10" t="n"/>
      <c r="E9" s="12" t="n"/>
      <c r="F9" s="39" t="n"/>
      <c r="G9" s="10" t="n"/>
    </row>
    <row r="10">
      <c r="A10" s="10" t="n"/>
      <c r="B10" s="10" t="n"/>
      <c r="C10" s="10" t="n"/>
      <c r="D10" s="10" t="n"/>
      <c r="E10" s="12" t="n"/>
      <c r="F10" s="39" t="n"/>
      <c r="G10" s="10" t="n"/>
    </row>
    <row r="11">
      <c r="A11" s="10" t="n"/>
      <c r="B11" s="10" t="n"/>
      <c r="C11" s="10" t="n"/>
      <c r="D11" s="10" t="n"/>
      <c r="E11" s="12" t="n"/>
      <c r="F11" s="39" t="n"/>
      <c r="G11" s="10" t="n"/>
    </row>
    <row r="12">
      <c r="A12" s="10" t="n"/>
      <c r="B12" s="10" t="n"/>
      <c r="C12" s="10" t="n"/>
      <c r="D12" s="10" t="n"/>
      <c r="E12" s="12" t="n"/>
      <c r="F12" s="39" t="n"/>
      <c r="G12" s="10" t="n"/>
    </row>
    <row r="13">
      <c r="A13" s="10" t="n"/>
      <c r="B13" s="10" t="n"/>
      <c r="C13" s="10" t="n"/>
      <c r="D13" s="10" t="n"/>
      <c r="E13" s="12" t="n"/>
      <c r="F13" s="39" t="n"/>
      <c r="G13" s="10" t="n"/>
    </row>
    <row r="14">
      <c r="A14" s="10" t="n"/>
      <c r="B14" s="10" t="n"/>
      <c r="C14" s="10" t="n"/>
      <c r="D14" s="10" t="n"/>
      <c r="E14" s="12" t="n"/>
      <c r="F14" s="39" t="n"/>
      <c r="G14" s="10" t="n"/>
    </row>
    <row r="15">
      <c r="A15" s="10" t="n"/>
      <c r="B15" s="10" t="n"/>
      <c r="C15" s="10" t="n"/>
      <c r="D15" s="10" t="n"/>
      <c r="E15" s="12" t="n"/>
      <c r="F15" s="39" t="n"/>
      <c r="G15" s="10" t="n"/>
    </row>
    <row r="16">
      <c r="A16" s="10" t="n"/>
      <c r="B16" s="10" t="n"/>
      <c r="C16" s="10" t="n"/>
      <c r="D16" s="10" t="n"/>
      <c r="E16" s="12" t="n"/>
      <c r="F16" s="39" t="n"/>
      <c r="G16" s="10" t="n"/>
    </row>
    <row r="17">
      <c r="A17" s="10" t="n"/>
      <c r="B17" s="10" t="n"/>
      <c r="C17" s="10" t="n"/>
      <c r="D17" s="10" t="n"/>
      <c r="E17" s="12" t="n"/>
      <c r="F17" s="39" t="n"/>
      <c r="G17" s="10" t="n"/>
    </row>
    <row r="18">
      <c r="A18" s="10" t="n"/>
      <c r="B18" s="10" t="n"/>
      <c r="C18" s="10" t="n"/>
      <c r="D18" s="10" t="n"/>
      <c r="E18" s="12" t="n"/>
      <c r="F18" s="39" t="n"/>
      <c r="G18" s="10" t="n"/>
    </row>
    <row r="19">
      <c r="A19" s="10" t="n"/>
      <c r="B19" s="10" t="n"/>
      <c r="C19" s="10" t="n"/>
      <c r="D19" s="10" t="n"/>
      <c r="E19" s="12" t="n"/>
      <c r="F19" s="39" t="n"/>
      <c r="G19" s="10" t="n"/>
    </row>
    <row r="20">
      <c r="A20" s="10" t="n"/>
      <c r="B20" s="10" t="n"/>
      <c r="C20" s="10" t="n"/>
      <c r="D20" s="10" t="n"/>
      <c r="E20" s="12" t="n"/>
      <c r="F20" s="39" t="n"/>
      <c r="G20" s="10" t="n"/>
    </row>
    <row r="21">
      <c r="A21" s="10" t="n"/>
      <c r="B21" s="10" t="n"/>
      <c r="C21" s="10" t="n"/>
      <c r="D21" s="10" t="n"/>
      <c r="E21" s="12" t="n"/>
      <c r="F21" s="39" t="n"/>
      <c r="G21" s="10" t="n"/>
    </row>
    <row r="22">
      <c r="A22" s="10" t="n"/>
      <c r="B22" s="10" t="n"/>
      <c r="C22" s="10" t="n"/>
      <c r="D22" s="10" t="n"/>
      <c r="E22" s="12" t="n"/>
      <c r="F22" s="39" t="n"/>
      <c r="G22" s="10" t="n"/>
    </row>
    <row r="23">
      <c r="A23" s="10" t="n"/>
      <c r="B23" s="10" t="n"/>
      <c r="C23" s="10" t="n"/>
      <c r="D23" s="10" t="n"/>
      <c r="E23" s="12" t="n"/>
      <c r="F23" s="39" t="n"/>
      <c r="G23" s="10" t="n"/>
    </row>
    <row r="24">
      <c r="A24" s="10" t="n"/>
      <c r="B24" s="10" t="n"/>
      <c r="C24" s="10" t="n"/>
      <c r="D24" s="10" t="n"/>
      <c r="E24" s="12" t="n"/>
      <c r="F24" s="39" t="n"/>
      <c r="G24" s="10" t="n"/>
    </row>
    <row r="25">
      <c r="A25" s="10" t="n"/>
      <c r="B25" s="10" t="n"/>
      <c r="C25" s="10" t="n"/>
      <c r="D25" s="10" t="n"/>
      <c r="E25" s="12" t="n"/>
      <c r="F25" s="39" t="n"/>
      <c r="G25" s="10" t="n"/>
    </row>
    <row r="26">
      <c r="A26" s="10" t="n"/>
      <c r="B26" s="10" t="n"/>
      <c r="C26" s="10" t="n"/>
      <c r="D26" s="10" t="n"/>
      <c r="E26" s="12" t="n"/>
      <c r="F26" s="39" t="n"/>
      <c r="G26" s="10" t="n"/>
    </row>
    <row r="27">
      <c r="A27" s="10" t="n"/>
      <c r="B27" s="10" t="n"/>
      <c r="C27" s="10" t="n"/>
      <c r="D27" s="10" t="n"/>
      <c r="E27" s="12" t="n"/>
      <c r="F27" s="39" t="n"/>
      <c r="G27" s="10" t="n"/>
    </row>
    <row r="28">
      <c r="A28" s="10" t="n"/>
      <c r="B28" s="10" t="n"/>
      <c r="C28" s="10" t="n"/>
      <c r="D28" s="10" t="n"/>
      <c r="E28" s="12" t="n"/>
      <c r="F28" s="39" t="n"/>
      <c r="G28" s="10" t="n"/>
    </row>
    <row r="29">
      <c r="A29" s="10" t="n"/>
      <c r="B29" s="10" t="n"/>
      <c r="C29" s="10" t="n"/>
      <c r="D29" s="10" t="n"/>
      <c r="E29" s="12" t="n"/>
      <c r="F29" s="39" t="n"/>
      <c r="G29" s="10" t="n"/>
    </row>
    <row r="30">
      <c r="A30" s="10" t="n"/>
      <c r="B30" s="10" t="n"/>
      <c r="C30" s="10" t="n"/>
      <c r="D30" s="10" t="n"/>
      <c r="E30" s="12" t="n"/>
      <c r="F30" s="39" t="n"/>
      <c r="G30" s="10" t="n"/>
    </row>
    <row r="31">
      <c r="A31" s="10" t="n"/>
      <c r="B31" s="10" t="n"/>
      <c r="C31" s="10" t="n"/>
      <c r="D31" s="10" t="n"/>
      <c r="E31" s="12" t="n"/>
      <c r="F31" s="39" t="n"/>
      <c r="G31" s="10" t="n"/>
    </row>
    <row r="32">
      <c r="A32" s="10" t="n"/>
      <c r="B32" s="10" t="n"/>
      <c r="C32" s="10" t="n"/>
      <c r="D32" s="10" t="n"/>
      <c r="E32" s="12" t="n"/>
      <c r="F32" s="39" t="n"/>
      <c r="G32" s="10" t="n"/>
    </row>
    <row r="33">
      <c r="A33" s="10" t="n"/>
      <c r="B33" s="10" t="n"/>
      <c r="C33" s="10" t="n"/>
      <c r="D33" s="10" t="n"/>
      <c r="E33" s="12" t="n"/>
      <c r="F33" s="39" t="n"/>
      <c r="G33" s="10" t="n"/>
    </row>
    <row r="34">
      <c r="A34" s="10" t="n"/>
      <c r="B34" s="10" t="n"/>
      <c r="C34" s="10" t="n"/>
      <c r="D34" s="10" t="n"/>
      <c r="E34" s="12" t="n"/>
      <c r="F34" s="39" t="n"/>
      <c r="G34" s="10" t="n"/>
    </row>
    <row r="35">
      <c r="A35" s="10" t="n"/>
      <c r="B35" s="10" t="n"/>
      <c r="C35" s="10" t="n"/>
      <c r="D35" s="10" t="n"/>
      <c r="E35" s="12" t="n"/>
      <c r="F35" s="39" t="n"/>
      <c r="G35" s="10" t="n"/>
    </row>
    <row r="36">
      <c r="A36" s="10" t="n"/>
      <c r="B36" s="10" t="n"/>
      <c r="C36" s="10" t="n"/>
      <c r="D36" s="10" t="n"/>
      <c r="E36" s="12" t="n"/>
      <c r="F36" s="39" t="n"/>
      <c r="G36" s="10" t="n"/>
    </row>
    <row r="37">
      <c r="A37" s="10" t="n"/>
      <c r="B37" s="10" t="n"/>
      <c r="C37" s="10" t="n"/>
      <c r="D37" s="10" t="n"/>
      <c r="E37" s="12" t="n"/>
      <c r="F37" s="39" t="n"/>
      <c r="G37" s="10" t="n"/>
    </row>
    <row r="38">
      <c r="A38" s="10" t="n"/>
      <c r="B38" s="10" t="n"/>
      <c r="C38" s="10" t="n"/>
      <c r="D38" s="10" t="n"/>
      <c r="E38" s="12" t="n"/>
      <c r="F38" s="39" t="n"/>
      <c r="G38" s="10" t="n"/>
    </row>
    <row r="39">
      <c r="A39" s="10" t="n"/>
      <c r="B39" s="10" t="n"/>
      <c r="C39" s="10" t="n"/>
      <c r="D39" s="10" t="n"/>
      <c r="E39" s="12" t="n"/>
      <c r="F39" s="39" t="n"/>
      <c r="G39" s="10" t="n"/>
    </row>
    <row r="40">
      <c r="A40" s="10" t="n"/>
      <c r="B40" s="10" t="n"/>
      <c r="C40" s="10" t="n"/>
      <c r="D40" s="10" t="n"/>
      <c r="E40" s="12" t="n"/>
      <c r="F40" s="39" t="n"/>
      <c r="G40" s="10" t="n"/>
    </row>
    <row r="41">
      <c r="A41" s="10" t="n"/>
      <c r="B41" s="10" t="n"/>
      <c r="C41" s="10" t="n"/>
      <c r="D41" s="10" t="n"/>
      <c r="E41" s="12" t="n"/>
      <c r="F41" s="39" t="n"/>
      <c r="G41" s="10" t="n"/>
    </row>
    <row r="42">
      <c r="A42" s="10" t="n"/>
      <c r="B42" s="10" t="n"/>
      <c r="C42" s="10" t="n"/>
      <c r="D42" s="10" t="n"/>
      <c r="E42" s="12" t="n"/>
      <c r="F42" s="39" t="n"/>
      <c r="G42" s="10" t="n"/>
    </row>
    <row r="43">
      <c r="A43" s="10" t="n"/>
      <c r="B43" s="10" t="n"/>
      <c r="C43" s="10" t="n"/>
      <c r="D43" s="10" t="n"/>
      <c r="E43" s="12" t="n"/>
      <c r="F43" s="39" t="n"/>
      <c r="G43" s="10" t="n"/>
    </row>
    <row r="44">
      <c r="A44" s="10" t="n"/>
      <c r="B44" s="10" t="n"/>
      <c r="C44" s="10" t="n"/>
      <c r="D44" s="10" t="n"/>
      <c r="E44" s="12" t="n"/>
      <c r="F44" s="39" t="n"/>
      <c r="G44" s="10" t="n"/>
    </row>
    <row r="45">
      <c r="A45" s="10" t="n"/>
      <c r="B45" s="10" t="n"/>
      <c r="C45" s="10" t="n"/>
      <c r="D45" s="10" t="n"/>
      <c r="E45" s="12" t="n"/>
      <c r="F45" s="39" t="n"/>
      <c r="G45" s="10" t="n"/>
    </row>
    <row r="46">
      <c r="A46" s="10" t="n"/>
      <c r="B46" s="10" t="n"/>
      <c r="C46" s="10" t="n"/>
      <c r="D46" s="10" t="n"/>
      <c r="E46" s="12" t="n"/>
      <c r="F46" s="39" t="n"/>
      <c r="G46" s="10" t="n"/>
    </row>
    <row r="47">
      <c r="A47" s="10" t="n"/>
      <c r="B47" s="10" t="n"/>
      <c r="C47" s="10" t="n"/>
      <c r="D47" s="10" t="n"/>
      <c r="E47" s="12" t="n"/>
      <c r="F47" s="39" t="n"/>
      <c r="G47" s="10" t="n"/>
    </row>
    <row r="48">
      <c r="A48" s="10" t="n"/>
      <c r="B48" s="10" t="n"/>
      <c r="C48" s="10" t="n"/>
      <c r="D48" s="10" t="n"/>
      <c r="E48" s="12" t="n"/>
      <c r="F48" s="39" t="n"/>
      <c r="G48" s="10" t="n"/>
    </row>
    <row r="49">
      <c r="A49" s="10" t="n"/>
      <c r="B49" s="10" t="n"/>
      <c r="C49" s="10" t="n"/>
      <c r="D49" s="10" t="n"/>
      <c r="E49" s="12" t="n"/>
      <c r="F49" s="39" t="n"/>
      <c r="G49" s="10" t="n"/>
    </row>
    <row r="50">
      <c r="A50" s="10" t="n"/>
      <c r="B50" s="10" t="n"/>
      <c r="C50" s="10" t="n"/>
      <c r="D50" s="10" t="n"/>
      <c r="E50" s="12" t="n"/>
      <c r="F50" s="39" t="n"/>
      <c r="G50" s="10" t="n"/>
    </row>
    <row r="51">
      <c r="A51" s="10" t="n"/>
      <c r="B51" s="10" t="n"/>
      <c r="C51" s="10" t="n"/>
      <c r="D51" s="10" t="n"/>
      <c r="E51" s="12" t="n"/>
      <c r="F51" s="39" t="n"/>
      <c r="G51" s="10" t="n"/>
    </row>
    <row r="52">
      <c r="A52" s="10" t="n"/>
      <c r="B52" s="10" t="n"/>
      <c r="C52" s="10" t="n"/>
      <c r="D52" s="10" t="n"/>
      <c r="E52" s="12" t="n"/>
      <c r="F52" s="39" t="n"/>
      <c r="G52" s="10" t="n"/>
    </row>
    <row r="53">
      <c r="A53" s="10" t="n"/>
      <c r="B53" s="10" t="n"/>
      <c r="C53" s="10" t="n"/>
      <c r="D53" s="10" t="n"/>
      <c r="E53" s="12" t="n"/>
      <c r="F53" s="39" t="n"/>
      <c r="G53" s="10" t="n"/>
    </row>
    <row r="54">
      <c r="A54" s="10" t="n"/>
      <c r="B54" s="10" t="n"/>
      <c r="C54" s="10" t="n"/>
      <c r="D54" s="10" t="n"/>
      <c r="E54" s="12" t="n"/>
      <c r="F54" s="39" t="n"/>
      <c r="G54" s="10" t="n"/>
    </row>
    <row r="55">
      <c r="A55" s="10" t="n"/>
      <c r="B55" s="10" t="n"/>
      <c r="C55" s="10" t="n"/>
      <c r="D55" s="10" t="n"/>
      <c r="E55" s="12" t="n"/>
      <c r="F55" s="39" t="n"/>
      <c r="G55" s="10" t="n"/>
    </row>
    <row r="56">
      <c r="A56" s="10" t="n"/>
      <c r="B56" s="10" t="n"/>
      <c r="C56" s="10" t="n"/>
      <c r="D56" s="10" t="n"/>
      <c r="E56" s="12" t="n"/>
      <c r="F56" s="39" t="n"/>
      <c r="G56" s="10" t="n"/>
    </row>
    <row r="57">
      <c r="A57" s="10" t="n"/>
      <c r="B57" s="10" t="n"/>
      <c r="C57" s="10" t="n"/>
      <c r="D57" s="10" t="n"/>
      <c r="E57" s="12" t="n"/>
      <c r="F57" s="39" t="n"/>
      <c r="G57" s="10" t="n"/>
    </row>
    <row r="58">
      <c r="A58" s="10" t="n"/>
      <c r="B58" s="10" t="n"/>
      <c r="C58" s="10" t="n"/>
      <c r="D58" s="10" t="n"/>
      <c r="E58" s="12" t="n"/>
      <c r="F58" s="39" t="n"/>
      <c r="G58" s="10" t="n"/>
    </row>
    <row r="59">
      <c r="A59" s="10" t="n"/>
      <c r="B59" s="10" t="n"/>
      <c r="C59" s="10" t="n"/>
      <c r="D59" s="10" t="n"/>
      <c r="E59" s="12" t="n"/>
      <c r="F59" s="39" t="n"/>
      <c r="G59" s="10" t="n"/>
    </row>
    <row r="60">
      <c r="A60" s="10" t="n"/>
      <c r="B60" s="10" t="n"/>
      <c r="C60" s="10" t="n"/>
      <c r="D60" s="10" t="n"/>
      <c r="E60" s="12" t="n"/>
      <c r="F60" s="39" t="n"/>
      <c r="G60" s="10" t="n"/>
    </row>
    <row r="61">
      <c r="A61" s="10" t="n"/>
      <c r="B61" s="10" t="n"/>
      <c r="C61" s="10" t="n"/>
      <c r="D61" s="10" t="n"/>
      <c r="E61" s="12" t="n"/>
      <c r="F61" s="39" t="n"/>
      <c r="G61" s="10" t="n"/>
    </row>
    <row r="62">
      <c r="A62" s="10" t="n"/>
      <c r="B62" s="10" t="n"/>
      <c r="C62" s="10" t="n"/>
      <c r="D62" s="10" t="n"/>
      <c r="E62" s="12" t="n"/>
      <c r="F62" s="39" t="n"/>
      <c r="G62" s="10" t="n"/>
    </row>
    <row r="63">
      <c r="A63" s="10" t="n"/>
      <c r="B63" s="10" t="n"/>
      <c r="C63" s="10" t="n"/>
      <c r="D63" s="10" t="n"/>
      <c r="E63" s="12" t="n"/>
      <c r="F63" s="39" t="n"/>
      <c r="G63" s="10" t="n"/>
    </row>
    <row r="64">
      <c r="A64" s="10" t="n"/>
      <c r="B64" s="10" t="n"/>
      <c r="C64" s="10" t="n"/>
      <c r="D64" s="10" t="n"/>
      <c r="E64" s="12" t="n"/>
      <c r="F64" s="39" t="n"/>
      <c r="G64" s="10" t="n"/>
    </row>
    <row r="65">
      <c r="A65" s="10" t="n"/>
      <c r="B65" s="10" t="n"/>
      <c r="C65" s="10" t="n"/>
      <c r="D65" s="10" t="n"/>
      <c r="E65" s="12" t="n"/>
      <c r="F65" s="39" t="n"/>
      <c r="G65" s="10" t="n"/>
    </row>
    <row r="66">
      <c r="A66" s="10" t="n"/>
      <c r="B66" s="10" t="n"/>
      <c r="C66" s="10" t="n"/>
      <c r="D66" s="10" t="n"/>
      <c r="E66" s="12" t="n"/>
      <c r="F66" s="39" t="n"/>
      <c r="G66" s="10" t="n"/>
    </row>
    <row r="67">
      <c r="A67" s="10" t="n"/>
      <c r="B67" s="10" t="n"/>
      <c r="C67" s="10" t="n"/>
      <c r="D67" s="10" t="n"/>
      <c r="E67" s="12" t="n"/>
      <c r="F67" s="39" t="n"/>
      <c r="G67" s="10" t="n"/>
    </row>
    <row r="68">
      <c r="A68" s="10" t="n"/>
      <c r="B68" s="10" t="n"/>
      <c r="C68" s="10" t="n"/>
      <c r="D68" s="10" t="n"/>
      <c r="E68" s="12" t="n"/>
      <c r="F68" s="39" t="n"/>
      <c r="G68" s="10" t="n"/>
    </row>
    <row r="69">
      <c r="A69" s="10" t="n"/>
      <c r="B69" s="10" t="n"/>
      <c r="C69" s="10" t="n"/>
      <c r="D69" s="10" t="n"/>
      <c r="E69" s="12" t="n"/>
      <c r="F69" s="39" t="n"/>
      <c r="G69" s="10" t="n"/>
    </row>
    <row r="70">
      <c r="A70" s="10" t="n"/>
      <c r="B70" s="10" t="n"/>
      <c r="C70" s="10" t="n"/>
      <c r="D70" s="10" t="n"/>
      <c r="E70" s="12" t="n"/>
      <c r="F70" s="39" t="n"/>
      <c r="G70" s="10" t="n"/>
    </row>
    <row r="71">
      <c r="A71" s="10" t="n"/>
      <c r="B71" s="10" t="n"/>
      <c r="C71" s="10" t="n"/>
      <c r="D71" s="10" t="n"/>
      <c r="E71" s="12" t="n"/>
      <c r="F71" s="39" t="n"/>
      <c r="G71" s="10" t="n"/>
    </row>
    <row r="72">
      <c r="A72" s="10" t="n"/>
      <c r="B72" s="10" t="n"/>
      <c r="C72" s="10" t="n"/>
      <c r="D72" s="10" t="n"/>
      <c r="E72" s="12" t="n"/>
      <c r="F72" s="39" t="n"/>
      <c r="G72" s="10" t="n"/>
    </row>
    <row r="73">
      <c r="A73" s="10" t="n"/>
      <c r="B73" s="10" t="n"/>
      <c r="C73" s="10" t="n"/>
      <c r="D73" s="10" t="n"/>
      <c r="E73" s="12" t="n"/>
      <c r="F73" s="39" t="n"/>
      <c r="G73" s="10" t="n"/>
    </row>
    <row r="74">
      <c r="A74" s="10" t="n"/>
      <c r="B74" s="10" t="n"/>
      <c r="C74" s="10" t="n"/>
      <c r="D74" s="10" t="n"/>
      <c r="E74" s="12" t="n"/>
      <c r="F74" s="39" t="n"/>
      <c r="G74" s="10" t="n"/>
    </row>
    <row r="75">
      <c r="A75" s="10" t="n"/>
      <c r="B75" s="10" t="n"/>
      <c r="C75" s="10" t="n"/>
      <c r="D75" s="10" t="n"/>
      <c r="E75" s="12" t="n"/>
      <c r="F75" s="39" t="n"/>
      <c r="G75" s="10" t="n"/>
    </row>
    <row r="76">
      <c r="A76" s="10" t="n"/>
      <c r="B76" s="10" t="n"/>
      <c r="C76" s="10" t="n"/>
      <c r="D76" s="10" t="n"/>
      <c r="E76" s="12" t="n"/>
      <c r="F76" s="39" t="n"/>
      <c r="G76" s="10" t="n"/>
    </row>
    <row r="77">
      <c r="A77" s="10" t="n"/>
      <c r="B77" s="10" t="n"/>
      <c r="C77" s="10" t="n"/>
      <c r="D77" s="10" t="n"/>
      <c r="E77" s="12" t="n"/>
      <c r="F77" s="39" t="n"/>
      <c r="G77" s="10" t="n"/>
    </row>
    <row r="78">
      <c r="A78" s="10" t="n"/>
      <c r="B78" s="10" t="n"/>
      <c r="C78" s="10" t="n"/>
      <c r="D78" s="10" t="n"/>
      <c r="E78" s="12" t="n"/>
      <c r="F78" s="39" t="n"/>
      <c r="G78" s="10" t="n"/>
    </row>
    <row r="79">
      <c r="A79" s="10" t="n"/>
      <c r="B79" s="10" t="n"/>
      <c r="C79" s="10" t="n"/>
      <c r="D79" s="10" t="n"/>
      <c r="E79" s="12" t="n"/>
      <c r="F79" s="39" t="n"/>
      <c r="G79" s="10" t="n"/>
    </row>
    <row r="80">
      <c r="A80" s="10" t="n"/>
      <c r="B80" s="10" t="n"/>
      <c r="C80" s="10" t="n"/>
      <c r="D80" s="10" t="n"/>
      <c r="E80" s="12" t="n"/>
      <c r="F80" s="39" t="n"/>
      <c r="G80" s="10" t="n"/>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2026-10-12T17:34:52Z</dcterms:created>
  <dcterms:modified xmlns:dcterms="http://purl.org/dc/terms/" xmlns:xsi="http://www.w3.org/2001/XMLSchema-instance" xsi:type="dcterms:W3CDTF">2026-10-14T17:56:42Z</dcterms:modified>
</cp:coreProperties>
</file>